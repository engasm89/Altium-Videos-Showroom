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4ab25773f46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bd6b2ec6434928"/>
    <x:sheet xmlns:r="http://schemas.openxmlformats.org/officeDocument/2006/relationships" name="Catalog" sheetId="2" r:id="R41a4335c86784d0e"/>
    <x:sheet xmlns:r="http://schemas.openxmlformats.org/officeDocument/2006/relationships" name="Needs Verification" sheetId="3" r:id="Re892ccd2d2eb448e"/>
    <x:sheet xmlns:r="http://schemas.openxmlformats.org/officeDocument/2006/relationships" name="Sources" sheetId="4" r:id="Rd6e9944590054e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24"/>
      <x:color rgb="FF102A43"/>
      <x:name val="Carlito"/>
    </x:font>
    <x:font>
      <x:sz val="11"/>
      <x:color rgb="FF102A43"/>
      <x:name val="Carlito"/>
    </x:font>
    <x:font>
      <x:b/>
      <x:sz val="11"/>
      <x:name val="Carlito"/>
    </x:font>
    <x:font>
      <x:b/>
      <x:sz val="11"/>
      <x:color rgb="FF7A5B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8F1FB"/>
      </x:patternFill>
    </x:fill>
    <x:fill>
      <x:patternFill patternType="solid">
        <x:fgColor rgb="FF0B7285"/>
      </x:patternFill>
    </x:fill>
    <x:fill>
      <x:patternFill patternType="solid">
        <x:fgColor rgb="FFFFFFFF"/>
      </x:patternFill>
    </x:fill>
    <x:fill>
      <x:patternFill patternType="solid">
        <x:fgColor rgb="FF1F6FEB"/>
      </x:patternFill>
    </x:fill>
    <x:fill>
      <x:patternFill patternType="solid">
        <x:fgColor rgb="FFFFF3CD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  <x:color rgb="FF176B3A"/>
      </x:font>
      <x:fill>
        <x:patternFill patternType="solid">
          <x:bgColor rgb="FFE9F7EF"/>
        </x:patternFill>
      </x:fill>
    </x:dxf>
    <x:dxf>
      <x:font>
        <x:b/>
        <x:color rgb="FF7A5B00"/>
      </x:font>
      <x:fill>
        <x:patternFill patternType="solid">
          <x:bgColor rgb="FFFFF3CD"/>
        </x:patternFill>
      </x:fill>
    </x:dxf>
    <x:dxf>
      <x:font>
        <x:b/>
        <x:color rgb="FFA61B1B"/>
      </x:font>
      <x:fill>
        <x:patternFill patternType="solid">
          <x:bgColor rgb="FFFDECEC"/>
        </x:patternFill>
      </x:fill>
    </x:dxf>
    <x:dxf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15c55db84a47e6" /><Relationship Type="http://schemas.openxmlformats.org/officeDocument/2006/relationships/theme" Target="/xl/theme/theme1.xml" Id="R9280a6233a5a4c78" /><Relationship Type="http://schemas.openxmlformats.org/officeDocument/2006/relationships/sharedStrings" Target="/xl/sharedStrings.xml" Id="R0536dd68524c465d" /><Relationship Type="http://schemas.openxmlformats.org/officeDocument/2006/relationships/worksheet" Target="/xl/worksheets/sheet1.xml" Id="R1cbd6b2ec6434928" /><Relationship Type="http://schemas.openxmlformats.org/officeDocument/2006/relationships/worksheet" Target="/xl/worksheets/sheet2.xml" Id="R41a4335c86784d0e" /><Relationship Type="http://schemas.openxmlformats.org/officeDocument/2006/relationships/worksheet" Target="/xl/worksheets/sheet3.xml" Id="Re892ccd2d2eb448e" /><Relationship Type="http://schemas.openxmlformats.org/officeDocument/2006/relationships/worksheet" Target="/xl/worksheets/sheet4.xml" Id="Rd6e9944590054e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8b30830f4c94dd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Recovered Videos by Year / Era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'Summary'!$A$10:$A$16</c:f>
              <c:strCache>
                <c:ptCount val="0"/>
              </c:strCache>
            </c:strRef>
          </c:cat>
          <c:val>
            <c:numRef>
              <c:f>'Summary'!$B$10:$B$16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b30830f4c94dd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ltiumVideoCatalog" displayName="AltiumVideoCatalog" ref="A4:N205" headerRowCount="1">
  <x:tableColumns count="14">
    <x:tableColumn id="1" name="#"/>
    <x:tableColumn id="2" name="Year / Era"/>
    <x:tableColumn id="3" name="Month"/>
    <x:tableColumn id="4" name="Video Title"/>
    <x:tableColumn id="5" name="Video ID"/>
    <x:tableColumn id="6" name="YouTube URL"/>
    <x:tableColumn id="7" name="URL Type"/>
    <x:tableColumn id="8" name="Series / Playlist"/>
    <x:tableColumn id="9" name="Product"/>
    <x:tableColumn id="10" name="Evidence Class"/>
    <x:tableColumn id="11" name="Source Record"/>
    <x:tableColumn id="12" name="Live Status"/>
    <x:tableColumn id="13" name="Notes"/>
    <x:tableColumn id="14" name="Open"/>
  </x:tableColumns>
  <x:tableStyleInfo name="TableStyleMedium2" showRowStripes="1"/>
</x:table>
</file>

<file path=xl/tables/table2.xml><?xml version="1.0" encoding="utf-8"?>
<x:table xmlns:x="http://schemas.openxmlformats.org/spreadsheetml/2006/main" id="2" name="VerificationIssues" displayName="VerificationIssues" ref="A3:F11" headerRowCount="1">
  <x:tableColumns count="6">
    <x:tableColumn id="1" name="Issue"/>
    <x:tableColumn id="2" name="Evidence Recovered"/>
    <x:tableColumn id="3" name="What Is Missing"/>
    <x:tableColumn id="4" name="Risk"/>
    <x:tableColumn id="5" name="Recommended Action"/>
    <x:tableColumn id="6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AuditSources" displayName="AuditSources" ref="A3:E22" headerRowCount="1">
  <x:tableColumns count="5">
    <x:tableColumn id="1" name="Source"/>
    <x:tableColumn id="2" name="Type"/>
    <x:tableColumn id="3" name="Period"/>
    <x:tableColumn id="4" name="Reference / URL"/>
    <x:tableColumn id="5" name="Use in Aud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8dfe923f4f64f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a11cc4cc2440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2dc301382d41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3441fc240e44c0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24" hidden="0" customWidth="1"/>
    <x:col min="4" max="4" width="26" hidden="0" customWidth="1"/>
    <x:col min="5" max="5" width="14" hidden="0" customWidth="1"/>
    <x:col min="6" max="6" width="8" hidden="0" customWidth="1"/>
    <x:col min="7" max="7" width="27" hidden="0" customWidth="1"/>
    <x:col min="8" max="8" width="14" hidden="0" customWidth="1"/>
  </x:cols>
  <x:sheetData>
    <x:row r="1" ht="34" customHeight="1">
      <x:c r="A1" s="5" t="str">
        <x:v>Educational Engineering Team — Complete Altium Video Audit</x:v>
      </x:c>
      <x:c r="B1" s="5"/>
      <x:c r="C1" s="5"/>
      <x:c r="D1" s="5"/>
      <x:c r="E1" s="5"/>
      <x:c r="F1" s="5"/>
      <x:c r="G1" s="5"/>
      <x:c r="H1" s="5"/>
    </x:row>
    <x:row r="2" ht="36" customHeight="1">
      <x:c r="A2" s="13" t="str">
        <x:v>Recovered from Altium invoices, Gmail correspondence, YouTube notifications, creator sample links, and the 2021 course playlists. Audit date: July 28, 2026.</x:v>
      </x:c>
      <x:c r="B2" s="13"/>
      <x:c r="C2" s="13"/>
      <x:c r="D2" s="13"/>
      <x:c r="E2" s="13"/>
      <x:c r="F2" s="13"/>
      <x:c r="G2" s="13"/>
      <x:c r="H2" s="13"/>
    </x:row>
    <x:row r="4">
      <x:c r="A4" s="21" t="str">
        <x:v>Named Videos</x:v>
      </x:c>
      <x:c r="B4" s="21" t="str"/>
      <x:c r="C4" s="21" t="str">
        <x:v>Direct Video URLs</x:v>
      </x:c>
      <x:c r="D4" s="21" t="str"/>
      <x:c r="E4" s="21" t="str">
        <x:v>Playlist-Only</x:v>
      </x:c>
      <x:c r="F4" s="21" t="str"/>
      <x:c r="G4" s="21" t="str">
        <x:v>Missing Individual URLs</x:v>
      </x:c>
      <x:c r="H4" s="21" t="str"/>
    </x:row>
    <x:row r="5">
      <x:c r="A5" s="29" t="n">
        <x:v>201</x:v>
      </x:c>
      <x:c r="B5" s="29"/>
      <x:c r="C5" s="29" t="n">
        <x:v>165</x:v>
      </x:c>
      <x:c r="D5" s="29"/>
      <x:c r="E5" s="29" t="n">
        <x:v>33</x:v>
      </x:c>
      <x:c r="F5" s="29"/>
      <x:c r="G5" s="29" t="n">
        <x:v>3</x:v>
      </x:c>
      <x:c r="H5" s="29"/>
    </x:row>
    <x:row r="6">
      <x:c r="A6" s="29"/>
      <x:c r="B6" s="29"/>
      <x:c r="C6" s="29"/>
      <x:c r="D6" s="29"/>
      <x:c r="E6" s="29"/>
      <x:c r="F6" s="29"/>
      <x:c r="G6" s="29"/>
      <x:c r="H6" s="29"/>
    </x:row>
    <x:row r="7">
      <x:c r="A7" s="29"/>
      <x:c r="B7" s="29"/>
      <x:c r="C7" s="29"/>
      <x:c r="D7" s="29"/>
      <x:c r="E7" s="29"/>
      <x:c r="F7" s="29"/>
      <x:c r="G7" s="29"/>
      <x:c r="H7" s="29"/>
    </x:row>
    <x:row r="9">
      <x:c r="A9" s="38" t="str">
        <x:v>Year / Era</x:v>
      </x:c>
      <x:c r="B9" s="38" t="str">
        <x:v>Count</x:v>
      </x:c>
      <x:c r="D9" s="38" t="str">
        <x:v>Evidence Class</x:v>
      </x:c>
      <x:c r="E9" s="38" t="str">
        <x:v>Count</x:v>
      </x:c>
      <x:c r="G9" s="38" t="str">
        <x:v>Product</x:v>
      </x:c>
      <x:c r="H9" s="38" t="str">
        <x:v>Count</x:v>
      </x:c>
    </x:row>
    <x:row r="10">
      <x:c r="A10" t="str">
        <x:v>2021</x:v>
      </x:c>
      <x:c r="B10" t="n">
        <x:f>COUNTIF(Catalog!$B$5:$B$205,A10)</x:f>
        <x:v>35</x:v>
      </x:c>
      <x:c r="D10" t="str">
        <x:v>Playlist archive</x:v>
      </x:c>
      <x:c r="E10" t="n">
        <x:f>COUNTIF(Catalog!$J$5:$J$205,D10)</x:f>
        <x:v>35</x:v>
      </x:c>
      <x:c r="G10" t="str">
        <x:v>Altium Designer</x:v>
      </x:c>
      <x:c r="H10" t="n">
        <x:f>COUNTIF(Catalog!$I$5:$I$205,G10)</x:f>
        <x:v>96</x:v>
      </x:c>
    </x:row>
    <x:row r="11">
      <x:c r="A11" t="str">
        <x:v>2022</x:v>
      </x:c>
      <x:c r="B11" t="n">
        <x:f>COUNTIF(Catalog!$B$5:$B$205,A11)</x:f>
        <x:v>9</x:v>
      </x:c>
      <x:c r="D11" t="str">
        <x:v>Gmail/Drive archive</x:v>
      </x:c>
      <x:c r="E11" t="n">
        <x:f>COUNTIF(Catalog!$J$5:$J$205,D11)</x:f>
        <x:v>9</x:v>
      </x:c>
      <x:c r="G11" t="str">
        <x:v>Altium Develop</x:v>
      </x:c>
      <x:c r="H11" t="n">
        <x:f>COUNTIF(Catalog!$I$5:$I$205,G11)</x:f>
        <x:v>105</x:v>
      </x:c>
    </x:row>
    <x:row r="12">
      <x:c r="A12" t="str">
        <x:v>Pre-2025 (date unclear)</x:v>
      </x:c>
      <x:c r="B12" t="n">
        <x:f>COUNTIF(Catalog!$B$5:$B$205,A12)</x:f>
        <x:v>14</x:v>
      </x:c>
      <x:c r="D12" t="str">
        <x:v>YouTube notification</x:v>
      </x:c>
      <x:c r="E12" t="n">
        <x:f>COUNTIF(Catalog!$J$5:$J$205,D12)</x:f>
        <x:v>14</x:v>
      </x:c>
    </x:row>
    <x:row r="13">
      <x:c r="A13" t="str">
        <x:v>2023</x:v>
      </x:c>
      <x:c r="B13" t="n">
        <x:f>COUNTIF(Catalog!$B$5:$B$205,A13)</x:f>
        <x:v>28</x:v>
      </x:c>
      <x:c r="D13" t="str">
        <x:v>Invoice</x:v>
      </x:c>
      <x:c r="E13" t="n">
        <x:f>COUNTIF(Catalog!$J$5:$J$205,D13)</x:f>
        <x:v>138</x:v>
      </x:c>
    </x:row>
    <x:row r="14">
      <x:c r="A14" t="str">
        <x:v>2023–2024</x:v>
      </x:c>
      <x:c r="B14" t="n">
        <x:f>COUNTIF(Catalog!$B$5:$B$205,A14)</x:f>
        <x:v>5</x:v>
      </x:c>
      <x:c r="D14" t="str">
        <x:v>Creator sample</x:v>
      </x:c>
      <x:c r="E14" t="n">
        <x:f>COUNTIF(Catalog!$J$5:$J$205,D14)</x:f>
        <x:v>5</x:v>
      </x:c>
    </x:row>
    <x:row r="15">
      <x:c r="A15" t="str">
        <x:v>2025</x:v>
      </x:c>
      <x:c r="B15" t="n">
        <x:f>COUNTIF(Catalog!$B$5:$B$205,A15)</x:f>
        <x:v>24</x:v>
      </x:c>
    </x:row>
    <x:row r="16">
      <x:c r="A16" t="str">
        <x:v>2026</x:v>
      </x:c>
      <x:c r="B16" t="n">
        <x:f>COUNTIF(Catalog!$B$5:$B$205,A16)</x:f>
        <x:v>86</x:v>
      </x:c>
    </x:row>
    <x:row r="18">
      <x:c r="A18" s="21" t="str">
        <x:v>Important audit limitations</x:v>
      </x:c>
      <x:c r="B18" s="21"/>
      <x:c r="C18" s="21"/>
      <x:c r="D18" s="21"/>
      <x:c r="E18" s="21"/>
      <x:c r="F18" s="21"/>
      <x:c r="G18" s="21"/>
      <x:c r="H18" s="21"/>
    </x:row>
    <x:row r="19" ht="24" customHeight="1">
      <x:c r="A19" s="47" t="str">
        <x:v>• The archive states that a wider 2022 batch contained 68 uploaded or scheduled Altium videos, but the surviving records did not expose every title and URL.
• Thirty-three 2021 course lessons are confirmed through playlist archives, but their individual video URLs were not recovered.
• Current public/live status was not independently verified for every URL; a recovered URL can still be private, unlisted, removed, or renamed.
• Four script files were found for 2022, but no evidence was found that they were published; they are listed on the Needs Verification sheet.</x:v>
      </x:c>
      <x:c r="B19" s="47"/>
      <x:c r="C19" s="47"/>
      <x:c r="D19" s="47"/>
      <x:c r="E19" s="47"/>
      <x:c r="F19" s="47"/>
      <x:c r="G19" s="47"/>
      <x:c r="H19" s="47"/>
    </x:row>
    <x:row r="20" ht="24" customHeight="1">
      <x:c r="A20" s="47"/>
      <x:c r="B20" s="47"/>
      <x:c r="C20" s="47"/>
      <x:c r="D20" s="47"/>
      <x:c r="E20" s="47"/>
      <x:c r="F20" s="47"/>
      <x:c r="G20" s="47"/>
      <x:c r="H20" s="47"/>
    </x:row>
    <x:row r="21" ht="24" customHeight="1">
      <x:c r="A21" s="47"/>
      <x:c r="B21" s="47"/>
      <x:c r="C21" s="47"/>
      <x:c r="D21" s="47"/>
      <x:c r="E21" s="47"/>
      <x:c r="F21" s="47"/>
      <x:c r="G21" s="47"/>
      <x:c r="H21" s="47"/>
    </x:row>
    <x:row r="22" ht="24" customHeight="1">
      <x:c r="A22" s="47"/>
      <x:c r="B22" s="47"/>
      <x:c r="C22" s="47"/>
      <x:c r="D22" s="47"/>
      <x:c r="E22" s="47"/>
      <x:c r="F22" s="47"/>
      <x:c r="G22" s="47"/>
      <x:c r="H22" s="47"/>
    </x:row>
    <x:row r="24">
      <x:c r="A24" s="21" t="str">
        <x:v>Channel reference</x:v>
      </x:c>
      <x:c r="B24" s="21"/>
      <x:c r="C24" s="21"/>
      <x:c r="D24" s="21"/>
      <x:c r="E24" s="21"/>
      <x:c r="F24" s="21"/>
      <x:c r="G24" s="21"/>
      <x:c r="H24" s="21"/>
    </x:row>
    <x:row r="25">
      <x:c r="A25" s="52" t="str">
        <x:v>YouTube Channel ID</x:v>
      </x:c>
      <x:c r="B25" s="54" t="str">
        <x:v>UCQfDCLyWEHMV3ERhD0au0Ug</x:v>
      </x:c>
      <x:c r="C25" s="54"/>
      <x:c r="D25" s="54"/>
      <x:c r="E25" s="54"/>
      <x:c r="F25" s="54"/>
      <x:c r="G25" s="54"/>
      <x:c r="H25" s="54"/>
    </x:row>
    <x:row r="26">
      <x:c r="A26" s="52" t="str">
        <x:v>Channel URL</x:v>
      </x:c>
      <x:c r="B26" s="54" t="str">
        <x:v>https://www.youtube.com/channel/UCQfDCLyWEHMV3ERhD0au0Ug</x:v>
      </x:c>
      <x:c r="C26" s="54"/>
      <x:c r="D26" s="54"/>
      <x:c r="E26" s="54"/>
      <x:c r="F26" s="54"/>
      <x:c r="G26" s="54"/>
      <x:c r="H26" s="54"/>
    </x:row>
  </x:sheetData>
  <x:mergeCells>
    <x:mergeCell ref="A1:H1"/>
    <x:mergeCell ref="A2:H2"/>
    <x:mergeCell ref="A4:B4"/>
    <x:mergeCell ref="C4:D4"/>
    <x:mergeCell ref="E4:F4"/>
    <x:mergeCell ref="G4:H4"/>
    <x:mergeCell ref="A5:B7"/>
    <x:mergeCell ref="C5:D7"/>
    <x:mergeCell ref="E5:F7"/>
    <x:mergeCell ref="G5:H7"/>
    <x:mergeCell ref="A18:H18"/>
    <x:mergeCell ref="A19:H22"/>
    <x:mergeCell ref="A24:H24"/>
    <x:mergeCell ref="B25:H25"/>
    <x:mergeCell ref="B26:H26"/>
  </x:mergeCells>
  <x:pageMargins left="0.7" right="0.7" top="0.75" bottom="0.75" header="0.3" footer="0.3"/>
  <x:drawing xmlns:r="http://schemas.openxmlformats.org/officeDocument/2006/relationships" r:id="R48dfe923f4f64f01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0" hidden="0" customWidth="1"/>
    <x:col min="3" max="3" width="14" hidden="0" customWidth="1"/>
    <x:col min="4" max="4" width="48" hidden="0" customWidth="1"/>
    <x:col min="5" max="5" width="17" hidden="0" customWidth="1"/>
    <x:col min="6" max="6" width="34" hidden="0" customWidth="1"/>
    <x:col min="7" max="7" width="15" hidden="0" customWidth="1"/>
    <x:col min="8" max="8" width="30" hidden="0" customWidth="1"/>
    <x:col min="9" max="9" width="18" hidden="0" customWidth="1"/>
    <x:col min="10" max="10" width="21" hidden="0" customWidth="1"/>
    <x:col min="11" max="11" width="33" hidden="0" customWidth="1"/>
    <x:col min="12" max="12" width="34" hidden="0" customWidth="1"/>
    <x:col min="13" max="13" width="45" hidden="0" customWidth="1"/>
    <x:col min="14" max="14" width="10" hidden="0" customWidth="1"/>
  </x:cols>
  <x:sheetData>
    <x:row r="1" ht="34" hidden="0" customHeight="1">
      <x:c r="A1" s="5" t="str">
        <x:v>Master Catalog — All Currently Recoverable Named Altium Videos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hidden="0" customHeight="1">
      <x:c r="A2" s="12" t="str">
        <x:v>Use the filters to isolate years, products, evidence classes, and unresolved links. 'Live Status' records audit confidence, not a current YouTube availability guarantee.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 ht="30" customHeight="1"/>
    <x:row r="4" ht="34" hidden="0" customHeight="1">
      <x:c r="A4" s="38" t="str">
        <x:v>#</x:v>
      </x:c>
      <x:c r="B4" s="38" t="str">
        <x:v>Year / Era</x:v>
      </x:c>
      <x:c r="C4" s="38" t="str">
        <x:v>Month</x:v>
      </x:c>
      <x:c r="D4" s="38" t="str">
        <x:v>Video Title</x:v>
      </x:c>
      <x:c r="E4" s="38" t="str">
        <x:v>Video ID</x:v>
      </x:c>
      <x:c r="F4" s="38" t="str">
        <x:v>YouTube URL</x:v>
      </x:c>
      <x:c r="G4" s="38" t="str">
        <x:v>URL Type</x:v>
      </x:c>
      <x:c r="H4" s="38" t="str">
        <x:v>Series / Playlist</x:v>
      </x:c>
      <x:c r="I4" s="38" t="str">
        <x:v>Product</x:v>
      </x:c>
      <x:c r="J4" s="38" t="str">
        <x:v>Evidence Class</x:v>
      </x:c>
      <x:c r="K4" s="38" t="str">
        <x:v>Source Record</x:v>
      </x:c>
      <x:c r="L4" s="38" t="str">
        <x:v>Live Status</x:v>
      </x:c>
      <x:c r="M4" s="38" t="str">
        <x:v>Notes</x:v>
      </x:c>
      <x:c r="N4" s="38" t="str">
        <x:v>Open</x:v>
      </x:c>
    </x:row>
    <x:row r="5" ht="30" hidden="0" customHeight="1">
      <x:c r="A5" s="59" t="n">
        <x:v>1</x:v>
      </x:c>
      <x:c r="B5" s="59" t="str">
        <x:v>2021</x:v>
      </x:c>
      <x:c r="C5" s="59" t="str">
        <x:v>Course archive</x:v>
      </x:c>
      <x:c r="D5" s="57" t="str">
        <x:v>Introduction &amp; Getting Started with Altium</x:v>
      </x:c>
      <x:c r="E5" s="59" t="str"/>
      <x:c r="F5" s="59" t="str">
        <x:v>https://www.youtube.com/playlist?list=PLEmozdxLQ0hQvMEC9bgyq6xXGjyJ4Hs1B</x:v>
      </x:c>
      <x:c r="G5" s="59" t="str">
        <x:v>Playlist</x:v>
      </x:c>
      <x:c r="H5" s="57" t="str">
        <x:v>2021 Altium Designer course — Playlist 1</x:v>
      </x:c>
      <x:c r="I5" s="59" t="str">
        <x:v>Altium Designer</x:v>
      </x:c>
      <x:c r="J5" s="59" t="str">
        <x:v>Playlist archive</x:v>
      </x:c>
      <x:c r="K5" s="57" t="str">
        <x:v>2021 Altium course archive</x:v>
      </x:c>
      <x:c r="L5" s="57" t="str">
        <x:v>Playlist recovered; individual video URL not recovered</x:v>
      </x:c>
      <x:c r="M5" s="57" t="str">
        <x:v>Recovered from the 2021 Altium course playlist; direct video URL not recovered.</x:v>
      </x:c>
      <x:c r="N5" s="59" t="e">
        <x:f>HYPERLINK(F5,"Open")</x:f>
      </x:c>
    </x:row>
    <x:row r="6" ht="30" hidden="0" customHeight="1">
      <x:c r="A6" s="59" t="n">
        <x:v>2</x:v>
      </x:c>
      <x:c r="B6" s="59" t="str">
        <x:v>2021</x:v>
      </x:c>
      <x:c r="C6" s="59" t="str">
        <x:v>Course archive</x:v>
      </x:c>
      <x:c r="D6" s="57" t="str">
        <x:v>Download and Installing Altium Designer</x:v>
      </x:c>
      <x:c r="E6" s="59" t="str"/>
      <x:c r="F6" s="59" t="str">
        <x:v>https://www.youtube.com/playlist?list=PLEmozdxLQ0hQvMEC9bgyq6xXGjyJ4Hs1B</x:v>
      </x:c>
      <x:c r="G6" s="59" t="str">
        <x:v>Playlist</x:v>
      </x:c>
      <x:c r="H6" s="57" t="str">
        <x:v>2021 Altium Designer course — Playlist 1</x:v>
      </x:c>
      <x:c r="I6" s="59" t="str">
        <x:v>Altium Designer</x:v>
      </x:c>
      <x:c r="J6" s="59" t="str">
        <x:v>Playlist archive</x:v>
      </x:c>
      <x:c r="K6" s="57" t="str">
        <x:v>2021 Altium course archive</x:v>
      </x:c>
      <x:c r="L6" s="57" t="str">
        <x:v>Playlist recovered; individual video URL not recovered</x:v>
      </x:c>
      <x:c r="M6" s="57" t="str">
        <x:v>Recovered from the 2021 Altium course playlist; direct video URL not recovered.</x:v>
      </x:c>
      <x:c r="N6" s="59" t="e">
        <x:f>HYPERLINK(F6,"Open")</x:f>
      </x:c>
    </x:row>
    <x:row r="7" ht="30" hidden="0" customHeight="1">
      <x:c r="A7" s="59" t="n">
        <x:v>3</x:v>
      </x:c>
      <x:c r="B7" s="59" t="str">
        <x:v>2021</x:v>
      </x:c>
      <x:c r="C7" s="59" t="str">
        <x:v>Course archive</x:v>
      </x:c>
      <x:c r="D7" s="57" t="str">
        <x:v>Altium Designer Interface Introduction</x:v>
      </x:c>
      <x:c r="E7" s="59" t="str"/>
      <x:c r="F7" s="59" t="str">
        <x:v>https://www.youtube.com/playlist?list=PLEmozdxLQ0hQvMEC9bgyq6xXGjyJ4Hs1B</x:v>
      </x:c>
      <x:c r="G7" s="59" t="str">
        <x:v>Playlist</x:v>
      </x:c>
      <x:c r="H7" s="57" t="str">
        <x:v>2021 Altium Designer course — Playlist 1</x:v>
      </x:c>
      <x:c r="I7" s="59" t="str">
        <x:v>Altium Designer</x:v>
      </x:c>
      <x:c r="J7" s="59" t="str">
        <x:v>Playlist archive</x:v>
      </x:c>
      <x:c r="K7" s="57" t="str">
        <x:v>2021 Altium course archive</x:v>
      </x:c>
      <x:c r="L7" s="57" t="str">
        <x:v>Playlist recovered; individual video URL not recovered</x:v>
      </x:c>
      <x:c r="M7" s="57" t="str">
        <x:v>Recovered from the 2021 Altium course playlist; direct video URL not recovered.</x:v>
      </x:c>
      <x:c r="N7" s="59" t="e">
        <x:f>HYPERLINK(F7,"Open")</x:f>
      </x:c>
    </x:row>
    <x:row r="8" ht="30" hidden="0" customHeight="1">
      <x:c r="A8" s="59" t="n">
        <x:v>4</x:v>
      </x:c>
      <x:c r="B8" s="59" t="str">
        <x:v>2021</x:v>
      </x:c>
      <x:c r="C8" s="59" t="str">
        <x:v>Course archive</x:v>
      </x:c>
      <x:c r="D8" s="57" t="str">
        <x:v>Create Component Libraries for Atmega Symbol &amp; Add Pins</x:v>
      </x:c>
      <x:c r="E8" s="59" t="str">
        <x:v>ABsYVuiAEvI</x:v>
      </x:c>
      <x:c r="F8" s="59" t="str">
        <x:v>https://youtu.be/ABsYVuiAEvI</x:v>
      </x:c>
      <x:c r="G8" s="59" t="str">
        <x:v>Direct video</x:v>
      </x:c>
      <x:c r="H8" s="57" t="str">
        <x:v>2021 Altium Designer course — Playlist 1</x:v>
      </x:c>
      <x:c r="I8" s="59" t="str">
        <x:v>Altium Designer</x:v>
      </x:c>
      <x:c r="J8" s="59" t="str">
        <x:v>Playlist archive</x:v>
      </x:c>
      <x:c r="K8" s="57" t="str">
        <x:v>2021 Altium course archive</x:v>
      </x:c>
      <x:c r="L8" s="57" t="str">
        <x:v>URL recovered; current public status not independently verified</x:v>
      </x:c>
      <x:c r="M8" s="57" t="str">
        <x:v>Direct video ID also recovered from an Educational Engineering Team YouTube notification.</x:v>
      </x:c>
      <x:c r="N8" s="59" t="e">
        <x:f>HYPERLINK(F8,"Open")</x:f>
      </x:c>
    </x:row>
    <x:row r="9" ht="30" hidden="0" customHeight="1">
      <x:c r="A9" s="59" t="n">
        <x:v>5</x:v>
      </x:c>
      <x:c r="B9" s="59" t="str">
        <x:v>2021</x:v>
      </x:c>
      <x:c r="C9" s="59" t="str">
        <x:v>Course archive</x:v>
      </x:c>
      <x:c r="D9" s="57" t="str">
        <x:v>Finishing the Schematic</x:v>
      </x:c>
      <x:c r="E9" s="59" t="str"/>
      <x:c r="F9" s="59" t="str">
        <x:v>https://www.youtube.com/playlist?list=PLEmozdxLQ0hQvMEC9bgyq6xXGjyJ4Hs1B</x:v>
      </x:c>
      <x:c r="G9" s="59" t="str">
        <x:v>Playlist</x:v>
      </x:c>
      <x:c r="H9" s="57" t="str">
        <x:v>2021 Altium Designer course — Playlist 1</x:v>
      </x:c>
      <x:c r="I9" s="59" t="str">
        <x:v>Altium Designer</x:v>
      </x:c>
      <x:c r="J9" s="59" t="str">
        <x:v>Playlist archive</x:v>
      </x:c>
      <x:c r="K9" s="57" t="str">
        <x:v>2021 Altium course archive</x:v>
      </x:c>
      <x:c r="L9" s="57" t="str">
        <x:v>Playlist recovered; individual video URL not recovered</x:v>
      </x:c>
      <x:c r="M9" s="57" t="str">
        <x:v>Recovered from the 2021 Altium course playlist; direct video URL not recovered.</x:v>
      </x:c>
      <x:c r="N9" s="59" t="e">
        <x:f>HYPERLINK(F9,"Open")</x:f>
      </x:c>
    </x:row>
    <x:row r="10" ht="30" hidden="0" customHeight="1">
      <x:c r="A10" s="59" t="n">
        <x:v>6</x:v>
      </x:c>
      <x:c r="B10" s="59" t="str">
        <x:v>2021</x:v>
      </x:c>
      <x:c r="C10" s="59" t="str">
        <x:v>Course archive</x:v>
      </x:c>
      <x:c r="D10" s="57" t="str">
        <x:v>Creating Your Components Symbol - Making</x:v>
      </x:c>
      <x:c r="E10" s="59" t="str"/>
      <x:c r="F10" s="59" t="str">
        <x:v>https://www.youtube.com/playlist?list=PLEmozdxLQ0hQvMEC9bgyq6xXGjyJ4Hs1B</x:v>
      </x:c>
      <x:c r="G10" s="59" t="str">
        <x:v>Playlist</x:v>
      </x:c>
      <x:c r="H10" s="57" t="str">
        <x:v>2021 Altium Designer course — Playlist 1</x:v>
      </x:c>
      <x:c r="I10" s="59" t="str">
        <x:v>Altium Designer</x:v>
      </x:c>
      <x:c r="J10" s="59" t="str">
        <x:v>Playlist archive</x:v>
      </x:c>
      <x:c r="K10" s="57" t="str">
        <x:v>2021 Altium course archive</x:v>
      </x:c>
      <x:c r="L10" s="57" t="str">
        <x:v>Playlist recovered; individual video URL not recovered</x:v>
      </x:c>
      <x:c r="M10" s="57" t="str">
        <x:v>Recovered from the 2021 Altium course playlist; direct video URL not recovered.</x:v>
      </x:c>
      <x:c r="N10" s="59" t="e">
        <x:f>HYPERLINK(F10,"Open")</x:f>
      </x:c>
    </x:row>
    <x:row r="11" ht="30" hidden="0" customHeight="1">
      <x:c r="A11" s="59" t="n">
        <x:v>7</x:v>
      </x:c>
      <x:c r="B11" s="59" t="str">
        <x:v>2021</x:v>
      </x:c>
      <x:c r="C11" s="59" t="str">
        <x:v>Course archive</x:v>
      </x:c>
      <x:c r="D11" s="57" t="str">
        <x:v>Link footprint with Schematic Library</x:v>
      </x:c>
      <x:c r="E11" s="59" t="str"/>
      <x:c r="F11" s="59" t="str">
        <x:v>https://www.youtube.com/playlist?list=PLEmozdxLQ0hQvMEC9bgyq6xXGjyJ4Hs1B</x:v>
      </x:c>
      <x:c r="G11" s="59" t="str">
        <x:v>Playlist</x:v>
      </x:c>
      <x:c r="H11" s="57" t="str">
        <x:v>2021 Altium Designer course — Playlist 1</x:v>
      </x:c>
      <x:c r="I11" s="59" t="str">
        <x:v>Altium Designer</x:v>
      </x:c>
      <x:c r="J11" s="59" t="str">
        <x:v>Playlist archive</x:v>
      </x:c>
      <x:c r="K11" s="57" t="str">
        <x:v>2021 Altium course archive</x:v>
      </x:c>
      <x:c r="L11" s="57" t="str">
        <x:v>Playlist recovered; individual video URL not recovered</x:v>
      </x:c>
      <x:c r="M11" s="57" t="str">
        <x:v>Recovered from the 2021 Altium course playlist; direct video URL not recovered.</x:v>
      </x:c>
      <x:c r="N11" s="59" t="e">
        <x:f>HYPERLINK(F11,"Open")</x:f>
      </x:c>
    </x:row>
    <x:row r="12" ht="30" hidden="0" customHeight="1">
      <x:c r="A12" s="59" t="n">
        <x:v>8</x:v>
      </x:c>
      <x:c r="B12" s="59" t="str">
        <x:v>2021</x:v>
      </x:c>
      <x:c r="C12" s="59" t="str">
        <x:v>Course archive</x:v>
      </x:c>
      <x:c r="D12" s="57" t="str">
        <x:v>Adding the new Library File to your Design</x:v>
      </x:c>
      <x:c r="E12" s="59" t="str"/>
      <x:c r="F12" s="59" t="str">
        <x:v>https://www.youtube.com/playlist?list=PLEmozdxLQ0hQvMEC9bgyq6xXGjyJ4Hs1B</x:v>
      </x:c>
      <x:c r="G12" s="59" t="str">
        <x:v>Playlist</x:v>
      </x:c>
      <x:c r="H12" s="57" t="str">
        <x:v>2021 Altium Designer course — Playlist 1</x:v>
      </x:c>
      <x:c r="I12" s="59" t="str">
        <x:v>Altium Designer</x:v>
      </x:c>
      <x:c r="J12" s="59" t="str">
        <x:v>Playlist archive</x:v>
      </x:c>
      <x:c r="K12" s="57" t="str">
        <x:v>2021 Altium course archive</x:v>
      </x:c>
      <x:c r="L12" s="57" t="str">
        <x:v>Playlist recovered; individual video URL not recovered</x:v>
      </x:c>
      <x:c r="M12" s="57" t="str">
        <x:v>Recovered from the 2021 Altium course playlist; direct video URL not recovered.</x:v>
      </x:c>
      <x:c r="N12" s="59" t="e">
        <x:f>HYPERLINK(F12,"Open")</x:f>
      </x:c>
    </x:row>
    <x:row r="13" ht="30" hidden="0" customHeight="1">
      <x:c r="A13" s="59" t="n">
        <x:v>9</x:v>
      </x:c>
      <x:c r="B13" s="59" t="str">
        <x:v>2021</x:v>
      </x:c>
      <x:c r="C13" s="59" t="str">
        <x:v>Course archive</x:v>
      </x:c>
      <x:c r="D13" s="57" t="str">
        <x:v>Creating the Atmega Component Symbol</x:v>
      </x:c>
      <x:c r="E13" s="59" t="str"/>
      <x:c r="F13" s="59" t="str">
        <x:v>https://www.youtube.com/playlist?list=PLEmozdxLQ0hQvMEC9bgyq6xXGjyJ4Hs1B</x:v>
      </x:c>
      <x:c r="G13" s="59" t="str">
        <x:v>Playlist</x:v>
      </x:c>
      <x:c r="H13" s="57" t="str">
        <x:v>2021 Altium Designer course — Playlist 1</x:v>
      </x:c>
      <x:c r="I13" s="59" t="str">
        <x:v>Altium Designer</x:v>
      </x:c>
      <x:c r="J13" s="59" t="str">
        <x:v>Playlist archive</x:v>
      </x:c>
      <x:c r="K13" s="57" t="str">
        <x:v>2021 Altium course archive</x:v>
      </x:c>
      <x:c r="L13" s="57" t="str">
        <x:v>Playlist recovered; individual video URL not recovered</x:v>
      </x:c>
      <x:c r="M13" s="57" t="str">
        <x:v>Recovered from the 2021 Altium course playlist; direct video URL not recovered.</x:v>
      </x:c>
      <x:c r="N13" s="59" t="e">
        <x:f>HYPERLINK(F13,"Open")</x:f>
      </x:c>
    </x:row>
    <x:row r="14" ht="30" hidden="0" customHeight="1">
      <x:c r="A14" s="59" t="n">
        <x:v>10</x:v>
      </x:c>
      <x:c r="B14" s="59" t="str">
        <x:v>2021</x:v>
      </x:c>
      <x:c r="C14" s="59" t="str">
        <x:v>Course archive</x:v>
      </x:c>
      <x:c r="D14" s="57" t="str">
        <x:v>Creating the Atmega PCB Footprint</x:v>
      </x:c>
      <x:c r="E14" s="59" t="str"/>
      <x:c r="F14" s="59" t="str">
        <x:v>https://www.youtube.com/playlist?list=PLEmozdxLQ0hQvMEC9bgyq6xXGjyJ4Hs1B</x:v>
      </x:c>
      <x:c r="G14" s="59" t="str">
        <x:v>Playlist</x:v>
      </x:c>
      <x:c r="H14" s="57" t="str">
        <x:v>2021 Altium Designer course — Playlist 1</x:v>
      </x:c>
      <x:c r="I14" s="59" t="str">
        <x:v>Altium Designer</x:v>
      </x:c>
      <x:c r="J14" s="59" t="str">
        <x:v>Playlist archive</x:v>
      </x:c>
      <x:c r="K14" s="57" t="str">
        <x:v>2021 Altium course archive</x:v>
      </x:c>
      <x:c r="L14" s="57" t="str">
        <x:v>Playlist recovered; individual video URL not recovered</x:v>
      </x:c>
      <x:c r="M14" s="57" t="str">
        <x:v>Recovered from the 2021 Altium course playlist; direct video URL not recovered.</x:v>
      </x:c>
      <x:c r="N14" s="59" t="e">
        <x:f>HYPERLINK(F14,"Open")</x:f>
      </x:c>
    </x:row>
    <x:row r="15" ht="30" hidden="0" customHeight="1">
      <x:c r="A15" s="59" t="n">
        <x:v>11</x:v>
      </x:c>
      <x:c r="B15" s="59" t="str">
        <x:v>2021</x:v>
      </x:c>
      <x:c r="C15" s="59" t="str">
        <x:v>Course archive</x:v>
      </x:c>
      <x:c r="D15" s="57" t="str">
        <x:v>Adding Components and Placing them on Schematic</x:v>
      </x:c>
      <x:c r="E15" s="59" t="str"/>
      <x:c r="F15" s="59" t="str">
        <x:v>https://www.youtube.com/playlist?list=PLEmozdxLQ0hQvMEC9bgyq6xXGjyJ4Hs1B</x:v>
      </x:c>
      <x:c r="G15" s="59" t="str">
        <x:v>Playlist</x:v>
      </x:c>
      <x:c r="H15" s="57" t="str">
        <x:v>2021 Altium Designer course — Playlist 1</x:v>
      </x:c>
      <x:c r="I15" s="59" t="str">
        <x:v>Altium Designer</x:v>
      </x:c>
      <x:c r="J15" s="59" t="str">
        <x:v>Playlist archive</x:v>
      </x:c>
      <x:c r="K15" s="57" t="str">
        <x:v>2021 Altium course archive</x:v>
      </x:c>
      <x:c r="L15" s="57" t="str">
        <x:v>Playlist recovered; individual video URL not recovered</x:v>
      </x:c>
      <x:c r="M15" s="57" t="str">
        <x:v>Recovered from the 2021 Altium course playlist; direct video URL not recovered.</x:v>
      </x:c>
      <x:c r="N15" s="59" t="e">
        <x:f>HYPERLINK(F15,"Open")</x:f>
      </x:c>
    </x:row>
    <x:row r="16" ht="30" hidden="0" customHeight="1">
      <x:c r="A16" s="59" t="n">
        <x:v>12</x:v>
      </x:c>
      <x:c r="B16" s="59" t="str">
        <x:v>2021</x:v>
      </x:c>
      <x:c r="C16" s="59" t="str">
        <x:v>Course archive</x:v>
      </x:c>
      <x:c r="D16" s="57" t="str">
        <x:v>Adding Components Libraries</x:v>
      </x:c>
      <x:c r="E16" s="59" t="str"/>
      <x:c r="F16" s="59" t="str">
        <x:v>https://www.youtube.com/playlist?list=PLEmozdxLQ0hQvMEC9bgyq6xXGjyJ4Hs1B</x:v>
      </x:c>
      <x:c r="G16" s="59" t="str">
        <x:v>Playlist</x:v>
      </x:c>
      <x:c r="H16" s="57" t="str">
        <x:v>2021 Altium Designer course — Playlist 1</x:v>
      </x:c>
      <x:c r="I16" s="59" t="str">
        <x:v>Altium Designer</x:v>
      </x:c>
      <x:c r="J16" s="59" t="str">
        <x:v>Playlist archive</x:v>
      </x:c>
      <x:c r="K16" s="57" t="str">
        <x:v>2021 Altium course archive</x:v>
      </x:c>
      <x:c r="L16" s="57" t="str">
        <x:v>Playlist recovered; individual video URL not recovered</x:v>
      </x:c>
      <x:c r="M16" s="57" t="str">
        <x:v>Recovered from the 2021 Altium course playlist; direct video URL not recovered.</x:v>
      </x:c>
      <x:c r="N16" s="59" t="e">
        <x:f>HYPERLINK(F16,"Open")</x:f>
      </x:c>
    </x:row>
    <x:row r="17" ht="30" hidden="0" customHeight="1">
      <x:c r="A17" s="59" t="n">
        <x:v>13</x:v>
      </x:c>
      <x:c r="B17" s="59" t="str">
        <x:v>2021</x:v>
      </x:c>
      <x:c r="C17" s="59" t="str">
        <x:v>Course archive</x:v>
      </x:c>
      <x:c r="D17" s="57" t="str">
        <x:v>ATMEGA Schematic Connection</x:v>
      </x:c>
      <x:c r="E17" s="59" t="str"/>
      <x:c r="F17" s="59" t="str">
        <x:v>https://www.youtube.com/playlist?list=PLEmozdxLQ0hQvMEC9bgyq6xXGjyJ4Hs1B</x:v>
      </x:c>
      <x:c r="G17" s="59" t="str">
        <x:v>Playlist</x:v>
      </x:c>
      <x:c r="H17" s="57" t="str">
        <x:v>2021 Altium Designer course — Playlist 1</x:v>
      </x:c>
      <x:c r="I17" s="59" t="str">
        <x:v>Altium Designer</x:v>
      </x:c>
      <x:c r="J17" s="59" t="str">
        <x:v>Playlist archive</x:v>
      </x:c>
      <x:c r="K17" s="57" t="str">
        <x:v>2021 Altium course archive</x:v>
      </x:c>
      <x:c r="L17" s="57" t="str">
        <x:v>Playlist recovered; individual video URL not recovered</x:v>
      </x:c>
      <x:c r="M17" s="57" t="str">
        <x:v>Recovered from the 2021 Altium course playlist; direct video URL not recovered.</x:v>
      </x:c>
      <x:c r="N17" s="59" t="e">
        <x:f>HYPERLINK(F17,"Open")</x:f>
      </x:c>
    </x:row>
    <x:row r="18" ht="30" hidden="0" customHeight="1">
      <x:c r="A18" s="59" t="n">
        <x:v>14</x:v>
      </x:c>
      <x:c r="B18" s="59" t="str">
        <x:v>2021</x:v>
      </x:c>
      <x:c r="C18" s="59" t="str">
        <x:v>Course archive</x:v>
      </x:c>
      <x:c r="D18" s="57" t="str">
        <x:v>USB Connector Schematic</x:v>
      </x:c>
      <x:c r="E18" s="59" t="str"/>
      <x:c r="F18" s="59" t="str">
        <x:v>https://www.youtube.com/playlist?list=PLEmozdxLQ0hQvMEC9bgyq6xXGjyJ4Hs1B</x:v>
      </x:c>
      <x:c r="G18" s="59" t="str">
        <x:v>Playlist</x:v>
      </x:c>
      <x:c r="H18" s="57" t="str">
        <x:v>2021 Altium Designer course — Playlist 1</x:v>
      </x:c>
      <x:c r="I18" s="59" t="str">
        <x:v>Altium Designer</x:v>
      </x:c>
      <x:c r="J18" s="59" t="str">
        <x:v>Playlist archive</x:v>
      </x:c>
      <x:c r="K18" s="57" t="str">
        <x:v>2021 Altium course archive</x:v>
      </x:c>
      <x:c r="L18" s="57" t="str">
        <x:v>Playlist recovered; individual video URL not recovered</x:v>
      </x:c>
      <x:c r="M18" s="57" t="str">
        <x:v>Recovered from the 2021 Altium course playlist; direct video URL not recovered.</x:v>
      </x:c>
      <x:c r="N18" s="59" t="e">
        <x:f>HYPERLINK(F18,"Open")</x:f>
      </x:c>
    </x:row>
    <x:row r="19" ht="30" hidden="0" customHeight="1">
      <x:c r="A19" s="59" t="n">
        <x:v>15</x:v>
      </x:c>
      <x:c r="B19" s="59" t="str">
        <x:v>2021</x:v>
      </x:c>
      <x:c r="C19" s="59" t="str">
        <x:v>Course archive</x:v>
      </x:c>
      <x:c r="D19" s="57" t="str">
        <x:v>Header Pins for Nano Board</x:v>
      </x:c>
      <x:c r="E19" s="59" t="str"/>
      <x:c r="F19" s="59" t="str">
        <x:v>https://www.youtube.com/playlist?list=PLEmozdxLQ0hQvMEC9bgyq6xXGjyJ4Hs1B</x:v>
      </x:c>
      <x:c r="G19" s="59" t="str">
        <x:v>Playlist</x:v>
      </x:c>
      <x:c r="H19" s="57" t="str">
        <x:v>2021 Altium Designer course — Playlist 1</x:v>
      </x:c>
      <x:c r="I19" s="59" t="str">
        <x:v>Altium Designer</x:v>
      </x:c>
      <x:c r="J19" s="59" t="str">
        <x:v>Playlist archive</x:v>
      </x:c>
      <x:c r="K19" s="57" t="str">
        <x:v>2021 Altium course archive</x:v>
      </x:c>
      <x:c r="L19" s="57" t="str">
        <x:v>Playlist recovered; individual video URL not recovered</x:v>
      </x:c>
      <x:c r="M19" s="57" t="str">
        <x:v>Recovered from the 2021 Altium course playlist; direct video URL not recovered.</x:v>
      </x:c>
      <x:c r="N19" s="59" t="e">
        <x:f>HYPERLINK(F19,"Open")</x:f>
      </x:c>
    </x:row>
    <x:row r="20" ht="30" hidden="0" customHeight="1">
      <x:c r="A20" s="59" t="n">
        <x:v>16</x:v>
      </x:c>
      <x:c r="B20" s="59" t="str">
        <x:v>2021</x:v>
      </x:c>
      <x:c r="C20" s="59" t="str">
        <x:v>Course archive</x:v>
      </x:c>
      <x:c r="D20" s="57" t="str">
        <x:v>Adding Resistors LED Indicators Voltage Regulator</x:v>
      </x:c>
      <x:c r="E20" s="59" t="str"/>
      <x:c r="F20" s="59" t="str">
        <x:v>https://www.youtube.com/playlist?list=PLEmozdxLQ0hQvMEC9bgyq6xXGjyJ4Hs1B</x:v>
      </x:c>
      <x:c r="G20" s="59" t="str">
        <x:v>Playlist</x:v>
      </x:c>
      <x:c r="H20" s="57" t="str">
        <x:v>2021 Altium Designer course — Playlist 1</x:v>
      </x:c>
      <x:c r="I20" s="59" t="str">
        <x:v>Altium Designer</x:v>
      </x:c>
      <x:c r="J20" s="59" t="str">
        <x:v>Playlist archive</x:v>
      </x:c>
      <x:c r="K20" s="57" t="str">
        <x:v>2021 Altium course archive</x:v>
      </x:c>
      <x:c r="L20" s="57" t="str">
        <x:v>Playlist recovered; individual video URL not recovered</x:v>
      </x:c>
      <x:c r="M20" s="57" t="str">
        <x:v>Recovered from the 2021 Altium course playlist; direct video URL not recovered.</x:v>
      </x:c>
      <x:c r="N20" s="59" t="e">
        <x:f>HYPERLINK(F20,"Open")</x:f>
      </x:c>
    </x:row>
    <x:row r="21" ht="30" hidden="0" customHeight="1">
      <x:c r="A21" s="59" t="n">
        <x:v>17</x:v>
      </x:c>
      <x:c r="B21" s="59" t="str">
        <x:v>2021</x:v>
      </x:c>
      <x:c r="C21" s="59" t="str">
        <x:v>Course archive</x:v>
      </x:c>
      <x:c r="D21" s="57" t="str">
        <x:v>Annotating and Compiling Project</x:v>
      </x:c>
      <x:c r="E21" s="59" t="str"/>
      <x:c r="F21" s="59" t="str">
        <x:v>https://www.youtube.com/playlist?list=PLEmozdxLQ0hQvMEC9bgyq6xXGjyJ4Hs1B</x:v>
      </x:c>
      <x:c r="G21" s="59" t="str">
        <x:v>Playlist</x:v>
      </x:c>
      <x:c r="H21" s="57" t="str">
        <x:v>2021 Altium Designer course — Playlist 1</x:v>
      </x:c>
      <x:c r="I21" s="59" t="str">
        <x:v>Altium Designer</x:v>
      </x:c>
      <x:c r="J21" s="59" t="str">
        <x:v>Playlist archive</x:v>
      </x:c>
      <x:c r="K21" s="57" t="str">
        <x:v>2021 Altium course archive</x:v>
      </x:c>
      <x:c r="L21" s="57" t="str">
        <x:v>Playlist recovered; individual video URL not recovered</x:v>
      </x:c>
      <x:c r="M21" s="57" t="str">
        <x:v>Recovered from the 2021 Altium course playlist; direct video URL not recovered.</x:v>
      </x:c>
      <x:c r="N21" s="59" t="e">
        <x:f>HYPERLINK(F21,"Open")</x:f>
      </x:c>
    </x:row>
    <x:row r="22" ht="30" hidden="0" customHeight="1">
      <x:c r="A22" s="59" t="n">
        <x:v>18</x:v>
      </x:c>
      <x:c r="B22" s="59" t="str">
        <x:v>2021</x:v>
      </x:c>
      <x:c r="C22" s="59" t="str">
        <x:v>Course archive</x:v>
      </x:c>
      <x:c r="D22" s="57" t="str">
        <x:v>Getting Started with the PCB Design Solve Errors</x:v>
      </x:c>
      <x:c r="E22" s="59" t="str"/>
      <x:c r="F22" s="59" t="str">
        <x:v>https://www.youtube.com/playlist?list=PLEmozdxLQ0hQvMEC9bgyq6xXGjyJ4Hs1B</x:v>
      </x:c>
      <x:c r="G22" s="59" t="str">
        <x:v>Playlist</x:v>
      </x:c>
      <x:c r="H22" s="57" t="str">
        <x:v>2021 Altium Designer course — Playlist 1</x:v>
      </x:c>
      <x:c r="I22" s="59" t="str">
        <x:v>Altium Designer</x:v>
      </x:c>
      <x:c r="J22" s="59" t="str">
        <x:v>Playlist archive</x:v>
      </x:c>
      <x:c r="K22" s="57" t="str">
        <x:v>2021 Altium course archive</x:v>
      </x:c>
      <x:c r="L22" s="57" t="str">
        <x:v>Playlist recovered; individual video URL not recovered</x:v>
      </x:c>
      <x:c r="M22" s="57" t="str">
        <x:v>Recovered from the 2021 Altium course playlist; direct video URL not recovered.</x:v>
      </x:c>
      <x:c r="N22" s="59" t="e">
        <x:f>HYPERLINK(F22,"Open")</x:f>
      </x:c>
    </x:row>
    <x:row r="23" ht="30" hidden="0" customHeight="1">
      <x:c r="A23" s="59" t="n">
        <x:v>19</x:v>
      </x:c>
      <x:c r="B23" s="59" t="str">
        <x:v>2021</x:v>
      </x:c>
      <x:c r="C23" s="59" t="str">
        <x:v>Course archive</x:v>
      </x:c>
      <x:c r="D23" s="57" t="str">
        <x:v>Drawing The Board Shape</x:v>
      </x:c>
      <x:c r="E23" s="59" t="str"/>
      <x:c r="F23" s="59" t="str">
        <x:v>https://www.youtube.com/playlist?list=PLEmozdxLQ0hQvMEC9bgyq6xXGjyJ4Hs1B</x:v>
      </x:c>
      <x:c r="G23" s="59" t="str">
        <x:v>Playlist</x:v>
      </x:c>
      <x:c r="H23" s="57" t="str">
        <x:v>2021 Altium Designer course — Playlist 1</x:v>
      </x:c>
      <x:c r="I23" s="59" t="str">
        <x:v>Altium Designer</x:v>
      </x:c>
      <x:c r="J23" s="59" t="str">
        <x:v>Playlist archive</x:v>
      </x:c>
      <x:c r="K23" s="57" t="str">
        <x:v>2021 Altium course archive</x:v>
      </x:c>
      <x:c r="L23" s="57" t="str">
        <x:v>Playlist recovered; individual video URL not recovered</x:v>
      </x:c>
      <x:c r="M23" s="57" t="str">
        <x:v>Recovered from the 2021 Altium course playlist; direct video URL not recovered.</x:v>
      </x:c>
      <x:c r="N23" s="59" t="e">
        <x:f>HYPERLINK(F23,"Open")</x:f>
      </x:c>
    </x:row>
    <x:row r="24" ht="30" hidden="0" customHeight="1">
      <x:c r="A24" s="59" t="n">
        <x:v>20</x:v>
      </x:c>
      <x:c r="B24" s="59" t="str">
        <x:v>2021</x:v>
      </x:c>
      <x:c r="C24" s="59" t="str">
        <x:v>Course archive</x:v>
      </x:c>
      <x:c r="D24" s="57" t="str">
        <x:v>Placing PCB Items Atmega and Headers</x:v>
      </x:c>
      <x:c r="E24" s="59" t="str"/>
      <x:c r="F24" s="59" t="str">
        <x:v>https://www.youtube.com/playlist?list=PLEmozdxLQ0hQvMEC9bgyq6xXGjyJ4Hs1B</x:v>
      </x:c>
      <x:c r="G24" s="59" t="str">
        <x:v>Playlist</x:v>
      </x:c>
      <x:c r="H24" s="57" t="str">
        <x:v>2021 Altium Designer course — Playlist 1</x:v>
      </x:c>
      <x:c r="I24" s="59" t="str">
        <x:v>Altium Designer</x:v>
      </x:c>
      <x:c r="J24" s="59" t="str">
        <x:v>Playlist archive</x:v>
      </x:c>
      <x:c r="K24" s="57" t="str">
        <x:v>2021 Altium course archive</x:v>
      </x:c>
      <x:c r="L24" s="57" t="str">
        <x:v>Playlist recovered; individual video URL not recovered</x:v>
      </x:c>
      <x:c r="M24" s="57" t="str">
        <x:v>Recovered from the 2021 Altium course playlist; direct video URL not recovered.</x:v>
      </x:c>
      <x:c r="N24" s="59" t="e">
        <x:f>HYPERLINK(F24,"Open")</x:f>
      </x:c>
    </x:row>
    <x:row r="25" ht="30" hidden="0" customHeight="1">
      <x:c r="A25" s="59" t="n">
        <x:v>21</x:v>
      </x:c>
      <x:c r="B25" s="59" t="str">
        <x:v>2021</x:v>
      </x:c>
      <x:c r="C25" s="59" t="str">
        <x:v>Course archive</x:v>
      </x:c>
      <x:c r="D25" s="57" t="str">
        <x:v>ICSP SWITCH Resistor array crystal MicroUSB</x:v>
      </x:c>
      <x:c r="E25" s="59" t="str"/>
      <x:c r="F25" s="59" t="str">
        <x:v>https://www.youtube.com/playlist?list=PLEmozdxLQ0hQvMEC9bgyq6xXGjyJ4Hs1B</x:v>
      </x:c>
      <x:c r="G25" s="59" t="str">
        <x:v>Playlist</x:v>
      </x:c>
      <x:c r="H25" s="57" t="str">
        <x:v>2021 Altium Designer course — Playlist 1</x:v>
      </x:c>
      <x:c r="I25" s="59" t="str">
        <x:v>Altium Designer</x:v>
      </x:c>
      <x:c r="J25" s="59" t="str">
        <x:v>Playlist archive</x:v>
      </x:c>
      <x:c r="K25" s="57" t="str">
        <x:v>2021 Altium course archive</x:v>
      </x:c>
      <x:c r="L25" s="57" t="str">
        <x:v>Playlist recovered; individual video URL not recovered</x:v>
      </x:c>
      <x:c r="M25" s="57" t="str">
        <x:v>Recovered from the 2021 Altium course playlist; direct video URL not recovered.</x:v>
      </x:c>
      <x:c r="N25" s="59" t="e">
        <x:f>HYPERLINK(F25,"Open")</x:f>
      </x:c>
    </x:row>
    <x:row r="26" ht="30" hidden="0" customHeight="1">
      <x:c r="A26" s="59" t="n">
        <x:v>22</x:v>
      </x:c>
      <x:c r="B26" s="59" t="str">
        <x:v>2021</x:v>
      </x:c>
      <x:c r="C26" s="59" t="str">
        <x:v>Course archive</x:v>
      </x:c>
      <x:c r="D26" s="57" t="str">
        <x:v>FTDI Regulator Capacitors</x:v>
      </x:c>
      <x:c r="E26" s="59" t="str"/>
      <x:c r="F26" s="59" t="str">
        <x:v>https://www.youtube.com/playlist?list=PLEmozdxLQ0hQvMEC9bgyq6xXGjyJ4Hs1B</x:v>
      </x:c>
      <x:c r="G26" s="59" t="str">
        <x:v>Playlist</x:v>
      </x:c>
      <x:c r="H26" s="57" t="str">
        <x:v>2021 Altium Designer course — Playlist 1</x:v>
      </x:c>
      <x:c r="I26" s="59" t="str">
        <x:v>Altium Designer</x:v>
      </x:c>
      <x:c r="J26" s="59" t="str">
        <x:v>Playlist archive</x:v>
      </x:c>
      <x:c r="K26" s="57" t="str">
        <x:v>2021 Altium course archive</x:v>
      </x:c>
      <x:c r="L26" s="57" t="str">
        <x:v>Playlist recovered; individual video URL not recovered</x:v>
      </x:c>
      <x:c r="M26" s="57" t="str">
        <x:v>Recovered from the 2021 Altium course playlist; direct video URL not recovered.</x:v>
      </x:c>
      <x:c r="N26" s="59" t="e">
        <x:f>HYPERLINK(F26,"Open")</x:f>
      </x:c>
    </x:row>
    <x:row r="27" ht="30" hidden="0" customHeight="1">
      <x:c r="A27" s="59" t="n">
        <x:v>23</x:v>
      </x:c>
      <x:c r="B27" s="59" t="str">
        <x:v>2021</x:v>
      </x:c>
      <x:c r="C27" s="59" t="str">
        <x:v>Course archive</x:v>
      </x:c>
      <x:c r="D27" s="57" t="str">
        <x:v>Manual Routing</x:v>
      </x:c>
      <x:c r="E27" s="59" t="str"/>
      <x:c r="F27" s="59" t="str">
        <x:v>https://www.youtube.com/playlist?list=PLEmozdxLQ0hQvMEC9bgyq6xXGjyJ4Hs1B</x:v>
      </x:c>
      <x:c r="G27" s="59" t="str">
        <x:v>Playlist</x:v>
      </x:c>
      <x:c r="H27" s="57" t="str">
        <x:v>2021 Altium Designer course — Playlist 1</x:v>
      </x:c>
      <x:c r="I27" s="59" t="str">
        <x:v>Altium Designer</x:v>
      </x:c>
      <x:c r="J27" s="59" t="str">
        <x:v>Playlist archive</x:v>
      </x:c>
      <x:c r="K27" s="57" t="str">
        <x:v>2021 Altium course archive</x:v>
      </x:c>
      <x:c r="L27" s="57" t="str">
        <x:v>Playlist recovered; individual video URL not recovered</x:v>
      </x:c>
      <x:c r="M27" s="57" t="str">
        <x:v>Recovered from the 2021 Altium course playlist; direct video URL not recovered.</x:v>
      </x:c>
      <x:c r="N27" s="59" t="e">
        <x:f>HYPERLINK(F27,"Open")</x:f>
      </x:c>
    </x:row>
    <x:row r="28" ht="30" hidden="0" customHeight="1">
      <x:c r="A28" s="59" t="n">
        <x:v>24</x:v>
      </x:c>
      <x:c r="B28" s="59" t="str">
        <x:v>2021</x:v>
      </x:c>
      <x:c r="C28" s="59" t="str">
        <x:v>Course archive</x:v>
      </x:c>
      <x:c r="D28" s="57" t="str">
        <x:v>AutoRouting</x:v>
      </x:c>
      <x:c r="E28" s="59" t="str"/>
      <x:c r="F28" s="59" t="str">
        <x:v>https://www.youtube.com/playlist?list=PLEmozdxLQ0hQvMEC9bgyq6xXGjyJ4Hs1B</x:v>
      </x:c>
      <x:c r="G28" s="59" t="str">
        <x:v>Playlist</x:v>
      </x:c>
      <x:c r="H28" s="57" t="str">
        <x:v>2021 Altium Designer course — Playlist 1</x:v>
      </x:c>
      <x:c r="I28" s="59" t="str">
        <x:v>Altium Designer</x:v>
      </x:c>
      <x:c r="J28" s="59" t="str">
        <x:v>Playlist archive</x:v>
      </x:c>
      <x:c r="K28" s="57" t="str">
        <x:v>2021 Altium course archive</x:v>
      </x:c>
      <x:c r="L28" s="57" t="str">
        <x:v>Playlist recovered; individual video URL not recovered</x:v>
      </x:c>
      <x:c r="M28" s="57" t="str">
        <x:v>Recovered from the 2021 Altium course playlist; direct video URL not recovered.</x:v>
      </x:c>
      <x:c r="N28" s="59" t="e">
        <x:f>HYPERLINK(F28,"Open")</x:f>
      </x:c>
    </x:row>
    <x:row r="29" ht="30" hidden="0" customHeight="1">
      <x:c r="A29" s="59" t="n">
        <x:v>25</x:v>
      </x:c>
      <x:c r="B29" s="59" t="str">
        <x:v>2021</x:v>
      </x:c>
      <x:c r="C29" s="59" t="str">
        <x:v>Course archive</x:v>
      </x:c>
      <x:c r="D29" s="57" t="str">
        <x:v>How to make the auto-routing work for you</x:v>
      </x:c>
      <x:c r="E29" s="59" t="str"/>
      <x:c r="F29" s="59" t="str">
        <x:v>https://www.youtube.com/playlist?list=PLEmozdxLQ0hQvMEC9bgyq6xXGjyJ4Hs1B</x:v>
      </x:c>
      <x:c r="G29" s="59" t="str">
        <x:v>Playlist</x:v>
      </x:c>
      <x:c r="H29" s="57" t="str">
        <x:v>2021 Altium Designer course — Playlist 1</x:v>
      </x:c>
      <x:c r="I29" s="59" t="str">
        <x:v>Altium Designer</x:v>
      </x:c>
      <x:c r="J29" s="59" t="str">
        <x:v>Playlist archive</x:v>
      </x:c>
      <x:c r="K29" s="57" t="str">
        <x:v>2021 Altium course archive</x:v>
      </x:c>
      <x:c r="L29" s="57" t="str">
        <x:v>Playlist recovered; individual video URL not recovered</x:v>
      </x:c>
      <x:c r="M29" s="57" t="str">
        <x:v>Recovered from the 2021 Altium course playlist; direct video URL not recovered.</x:v>
      </x:c>
      <x:c r="N29" s="59" t="e">
        <x:f>HYPERLINK(F29,"Open")</x:f>
      </x:c>
    </x:row>
    <x:row r="30" ht="30" hidden="0" customHeight="1">
      <x:c r="A30" s="59" t="n">
        <x:v>26</x:v>
      </x:c>
      <x:c r="B30" s="59" t="str">
        <x:v>2021</x:v>
      </x:c>
      <x:c r="C30" s="59" t="str">
        <x:v>Course archive</x:v>
      </x:c>
      <x:c r="D30" s="57" t="str">
        <x:v>Improve AutoRouting Trial and Error</x:v>
      </x:c>
      <x:c r="E30" s="59" t="str"/>
      <x:c r="F30" s="59" t="str">
        <x:v>https://www.youtube.com/playlist?list=PLEmozdxLQ0hQvMEC9bgyq6xXGjyJ4Hs1B</x:v>
      </x:c>
      <x:c r="G30" s="59" t="str">
        <x:v>Playlist</x:v>
      </x:c>
      <x:c r="H30" s="57" t="str">
        <x:v>2021 Altium Designer course — Playlist 1</x:v>
      </x:c>
      <x:c r="I30" s="59" t="str">
        <x:v>Altium Designer</x:v>
      </x:c>
      <x:c r="J30" s="59" t="str">
        <x:v>Playlist archive</x:v>
      </x:c>
      <x:c r="K30" s="57" t="str">
        <x:v>2021 Altium course archive</x:v>
      </x:c>
      <x:c r="L30" s="57" t="str">
        <x:v>Playlist recovered; individual video URL not recovered</x:v>
      </x:c>
      <x:c r="M30" s="57" t="str">
        <x:v>Recovered from the 2021 Altium course playlist; direct video URL not recovered.</x:v>
      </x:c>
      <x:c r="N30" s="59" t="e">
        <x:f>HYPERLINK(F30,"Open")</x:f>
      </x:c>
    </x:row>
    <x:row r="31" ht="30" hidden="0" customHeight="1">
      <x:c r="A31" s="59" t="n">
        <x:v>27</x:v>
      </x:c>
      <x:c r="B31" s="59" t="str">
        <x:v>2021</x:v>
      </x:c>
      <x:c r="C31" s="59" t="str">
        <x:v>Course archive</x:v>
      </x:c>
      <x:c r="D31" s="57" t="str">
        <x:v>Greber File and Bill of Material</x:v>
      </x:c>
      <x:c r="E31" s="59" t="str"/>
      <x:c r="F31" s="59" t="str">
        <x:v>https://www.youtube.com/playlist?list=PLEmozdxLQ0hQvMEC9bgyq6xXGjyJ4Hs1B</x:v>
      </x:c>
      <x:c r="G31" s="59" t="str">
        <x:v>Playlist</x:v>
      </x:c>
      <x:c r="H31" s="57" t="str">
        <x:v>2021 Altium Designer course — Playlist 1</x:v>
      </x:c>
      <x:c r="I31" s="59" t="str">
        <x:v>Altium Designer</x:v>
      </x:c>
      <x:c r="J31" s="59" t="str">
        <x:v>Playlist archive</x:v>
      </x:c>
      <x:c r="K31" s="57" t="str">
        <x:v>2021 Altium course archive</x:v>
      </x:c>
      <x:c r="L31" s="57" t="str">
        <x:v>Playlist recovered; individual video URL not recovered</x:v>
      </x:c>
      <x:c r="M31" s="57" t="str">
        <x:v>Recovered from the 2021 Altium course playlist; direct video URL not recovered.</x:v>
      </x:c>
      <x:c r="N31" s="59" t="e">
        <x:f>HYPERLINK(F31,"Open")</x:f>
      </x:c>
    </x:row>
    <x:row r="32" ht="30" hidden="0" customHeight="1">
      <x:c r="A32" s="59" t="n">
        <x:v>28</x:v>
      </x:c>
      <x:c r="B32" s="59" t="str">
        <x:v>2021</x:v>
      </x:c>
      <x:c r="C32" s="59" t="str">
        <x:v>Course archive</x:v>
      </x:c>
      <x:c r="D32" s="57" t="str">
        <x:v>Professional PCB - Manufacture a Professional PCB</x:v>
      </x:c>
      <x:c r="E32" s="59" t="str">
        <x:v>lPySXBru2DQ</x:v>
      </x:c>
      <x:c r="F32" s="59" t="str">
        <x:v>https://youtu.be/lPySXBru2DQ</x:v>
      </x:c>
      <x:c r="G32" s="59" t="str">
        <x:v>Direct video</x:v>
      </x:c>
      <x:c r="H32" s="57" t="str">
        <x:v>2021 Altium Designer course — Playlist 1</x:v>
      </x:c>
      <x:c r="I32" s="59" t="str">
        <x:v>Altium Designer</x:v>
      </x:c>
      <x:c r="J32" s="59" t="str">
        <x:v>Playlist archive</x:v>
      </x:c>
      <x:c r="K32" s="57" t="str">
        <x:v>2021 Altium course archive</x:v>
      </x:c>
      <x:c r="L32" s="57" t="str">
        <x:v>URL recovered; current public status not independently verified</x:v>
      </x:c>
      <x:c r="M32" s="57" t="str">
        <x:v>Direct video ID also recovered under the title 'Bonus Lecture Manufacture a Professional PCB By PCBWay Altium Designer'.</x:v>
      </x:c>
      <x:c r="N32" s="59" t="e">
        <x:f>HYPERLINK(F32,"Open")</x:f>
      </x:c>
    </x:row>
    <x:row r="33" ht="30" hidden="0" customHeight="1">
      <x:c r="A33" s="59" t="n">
        <x:v>29</x:v>
      </x:c>
      <x:c r="B33" s="59" t="str">
        <x:v>2021</x:v>
      </x:c>
      <x:c r="C33" s="59" t="str">
        <x:v>Course archive</x:v>
      </x:c>
      <x:c r="D33" s="57" t="str">
        <x:v>Introduction to Altium User Interface</x:v>
      </x:c>
      <x:c r="E33" s="59" t="str"/>
      <x:c r="F33" s="59" t="str">
        <x:v>https://www.youtube.com/playlist?list=PLEmozdxLQ0hRtfoqWcEzQJsjxo9HeWNeT</x:v>
      </x:c>
      <x:c r="G33" s="59" t="str">
        <x:v>Playlist</x:v>
      </x:c>
      <x:c r="H33" s="57" t="str">
        <x:v>2021 Altium Designer course — Playlist 2</x:v>
      </x:c>
      <x:c r="I33" s="59" t="str">
        <x:v>Altium Designer</x:v>
      </x:c>
      <x:c r="J33" s="59" t="str">
        <x:v>Playlist archive</x:v>
      </x:c>
      <x:c r="K33" s="57" t="str">
        <x:v>2021 Altium course archive</x:v>
      </x:c>
      <x:c r="L33" s="57" t="str">
        <x:v>Playlist recovered; individual video URL not recovered</x:v>
      </x:c>
      <x:c r="M33" s="57" t="str">
        <x:v>Recovered from the second 2021 Altium course playlist; direct video URL not recovered.</x:v>
      </x:c>
      <x:c r="N33" s="59" t="e">
        <x:f>HYPERLINK(F33,"Open")</x:f>
      </x:c>
    </x:row>
    <x:row r="34" ht="30" hidden="0" customHeight="1">
      <x:c r="A34" s="59" t="n">
        <x:v>30</x:v>
      </x:c>
      <x:c r="B34" s="59" t="str">
        <x:v>2021</x:v>
      </x:c>
      <x:c r="C34" s="59" t="str">
        <x:v>Course archive</x:v>
      </x:c>
      <x:c r="D34" s="57" t="str">
        <x:v>Download and Install Altium Designer</x:v>
      </x:c>
      <x:c r="E34" s="59" t="str"/>
      <x:c r="F34" s="59" t="str">
        <x:v>https://www.youtube.com/playlist?list=PLEmozdxLQ0hRtfoqWcEzQJsjxo9HeWNeT</x:v>
      </x:c>
      <x:c r="G34" s="59" t="str">
        <x:v>Playlist</x:v>
      </x:c>
      <x:c r="H34" s="57" t="str">
        <x:v>2021 Altium Designer course — Playlist 2</x:v>
      </x:c>
      <x:c r="I34" s="59" t="str">
        <x:v>Altium Designer</x:v>
      </x:c>
      <x:c r="J34" s="59" t="str">
        <x:v>Playlist archive</x:v>
      </x:c>
      <x:c r="K34" s="57" t="str">
        <x:v>2021 Altium course archive</x:v>
      </x:c>
      <x:c r="L34" s="57" t="str">
        <x:v>Playlist recovered; individual video URL not recovered</x:v>
      </x:c>
      <x:c r="M34" s="57" t="str">
        <x:v>Recovered from the second 2021 Altium course playlist; direct video URL not recovered.</x:v>
      </x:c>
      <x:c r="N34" s="59" t="e">
        <x:f>HYPERLINK(F34,"Open")</x:f>
      </x:c>
    </x:row>
    <x:row r="35" ht="30" hidden="0" customHeight="1">
      <x:c r="A35" s="59" t="n">
        <x:v>31</x:v>
      </x:c>
      <x:c r="B35" s="59" t="str">
        <x:v>2021</x:v>
      </x:c>
      <x:c r="C35" s="59" t="str">
        <x:v>Course archive</x:v>
      </x:c>
      <x:c r="D35" s="57" t="str">
        <x:v>Create Component Symbol &amp; Add Pins</x:v>
      </x:c>
      <x:c r="E35" s="59" t="str"/>
      <x:c r="F35" s="59" t="str">
        <x:v>https://www.youtube.com/playlist?list=PLEmozdxLQ0hRtfoqWcEzQJsjxo9HeWNeT</x:v>
      </x:c>
      <x:c r="G35" s="59" t="str">
        <x:v>Playlist</x:v>
      </x:c>
      <x:c r="H35" s="57" t="str">
        <x:v>2021 Altium Designer course — Playlist 2</x:v>
      </x:c>
      <x:c r="I35" s="59" t="str">
        <x:v>Altium Designer</x:v>
      </x:c>
      <x:c r="J35" s="59" t="str">
        <x:v>Playlist archive</x:v>
      </x:c>
      <x:c r="K35" s="57" t="str">
        <x:v>2021 Altium course archive</x:v>
      </x:c>
      <x:c r="L35" s="57" t="str">
        <x:v>Playlist recovered; individual video URL not recovered</x:v>
      </x:c>
      <x:c r="M35" s="57" t="str">
        <x:v>Recovered from the second 2021 Altium course playlist; direct video URL not recovered.</x:v>
      </x:c>
      <x:c r="N35" s="59" t="e">
        <x:f>HYPERLINK(F35,"Open")</x:f>
      </x:c>
    </x:row>
    <x:row r="36" ht="30" hidden="0" customHeight="1">
      <x:c r="A36" s="59" t="n">
        <x:v>32</x:v>
      </x:c>
      <x:c r="B36" s="59" t="str">
        <x:v>2021</x:v>
      </x:c>
      <x:c r="C36" s="59" t="str">
        <x:v>Course archive</x:v>
      </x:c>
      <x:c r="D36" s="57" t="str">
        <x:v>Finishing the Schematic</x:v>
      </x:c>
      <x:c r="E36" s="59" t="str"/>
      <x:c r="F36" s="59" t="str">
        <x:v>https://www.youtube.com/playlist?list=PLEmozdxLQ0hRtfoqWcEzQJsjxo9HeWNeT</x:v>
      </x:c>
      <x:c r="G36" s="59" t="str">
        <x:v>Playlist</x:v>
      </x:c>
      <x:c r="H36" s="57" t="str">
        <x:v>2021 Altium Designer course — Playlist 2</x:v>
      </x:c>
      <x:c r="I36" s="59" t="str">
        <x:v>Altium Designer</x:v>
      </x:c>
      <x:c r="J36" s="59" t="str">
        <x:v>Playlist archive</x:v>
      </x:c>
      <x:c r="K36" s="57" t="str">
        <x:v>2021 Altium course archive</x:v>
      </x:c>
      <x:c r="L36" s="57" t="str">
        <x:v>Playlist recovered; individual video URL not recovered</x:v>
      </x:c>
      <x:c r="M36" s="57" t="str">
        <x:v>Recovered from the second 2021 Altium course playlist; direct video URL not recovered.</x:v>
      </x:c>
      <x:c r="N36" s="59" t="e">
        <x:f>HYPERLINK(F36,"Open")</x:f>
      </x:c>
    </x:row>
    <x:row r="37" ht="30" hidden="0" customHeight="1">
      <x:c r="A37" s="59" t="n">
        <x:v>33</x:v>
      </x:c>
      <x:c r="B37" s="59" t="str">
        <x:v>2021</x:v>
      </x:c>
      <x:c r="C37" s="59" t="str">
        <x:v>Course archive</x:v>
      </x:c>
      <x:c r="D37" s="57" t="str">
        <x:v>Making Footprint and PCB Layout</x:v>
      </x:c>
      <x:c r="E37" s="59" t="str"/>
      <x:c r="F37" s="59" t="str">
        <x:v>https://www.youtube.com/playlist?list=PLEmozdxLQ0hRtfoqWcEzQJsjxo9HeWNeT</x:v>
      </x:c>
      <x:c r="G37" s="59" t="str">
        <x:v>Playlist</x:v>
      </x:c>
      <x:c r="H37" s="57" t="str">
        <x:v>2021 Altium Designer course — Playlist 2</x:v>
      </x:c>
      <x:c r="I37" s="59" t="str">
        <x:v>Altium Designer</x:v>
      </x:c>
      <x:c r="J37" s="59" t="str">
        <x:v>Playlist archive</x:v>
      </x:c>
      <x:c r="K37" s="57" t="str">
        <x:v>2021 Altium course archive</x:v>
      </x:c>
      <x:c r="L37" s="57" t="str">
        <x:v>Playlist recovered; individual video URL not recovered</x:v>
      </x:c>
      <x:c r="M37" s="57" t="str">
        <x:v>Recovered from the second 2021 Altium course playlist; direct video URL not recovered.</x:v>
      </x:c>
      <x:c r="N37" s="59" t="e">
        <x:f>HYPERLINK(F37,"Open")</x:f>
      </x:c>
    </x:row>
    <x:row r="38" ht="30" hidden="0" customHeight="1">
      <x:c r="A38" s="59" t="n">
        <x:v>34</x:v>
      </x:c>
      <x:c r="B38" s="59" t="str">
        <x:v>2021</x:v>
      </x:c>
      <x:c r="C38" s="59" t="str">
        <x:v>Course archive</x:v>
      </x:c>
      <x:c r="D38" s="57" t="str">
        <x:v>Link footprint with Schematic Library</x:v>
      </x:c>
      <x:c r="E38" s="59" t="str"/>
      <x:c r="F38" s="59" t="str">
        <x:v>https://www.youtube.com/playlist?list=PLEmozdxLQ0hRtfoqWcEzQJsjxo9HeWNeT</x:v>
      </x:c>
      <x:c r="G38" s="59" t="str">
        <x:v>Playlist</x:v>
      </x:c>
      <x:c r="H38" s="57" t="str">
        <x:v>2021 Altium Designer course — Playlist 2</x:v>
      </x:c>
      <x:c r="I38" s="59" t="str">
        <x:v>Altium Designer</x:v>
      </x:c>
      <x:c r="J38" s="59" t="str">
        <x:v>Playlist archive</x:v>
      </x:c>
      <x:c r="K38" s="57" t="str">
        <x:v>2021 Altium course archive</x:v>
      </x:c>
      <x:c r="L38" s="57" t="str">
        <x:v>Playlist recovered; individual video URL not recovered</x:v>
      </x:c>
      <x:c r="M38" s="57" t="str">
        <x:v>Recovered from the second 2021 Altium course playlist; direct video URL not recovered.</x:v>
      </x:c>
      <x:c r="N38" s="59" t="e">
        <x:f>HYPERLINK(F38,"Open")</x:f>
      </x:c>
    </x:row>
    <x:row r="39" ht="30" hidden="0" customHeight="1">
      <x:c r="A39" s="59" t="n">
        <x:v>35</x:v>
      </x:c>
      <x:c r="B39" s="59" t="str">
        <x:v>2021</x:v>
      </x:c>
      <x:c r="C39" s="59" t="str">
        <x:v>Course archive</x:v>
      </x:c>
      <x:c r="D39" s="57" t="str">
        <x:v>Adding the new Library File to your Design</x:v>
      </x:c>
      <x:c r="E39" s="59" t="str"/>
      <x:c r="F39" s="59" t="str">
        <x:v>https://www.youtube.com/playlist?list=PLEmozdxLQ0hRtfoqWcEzQJsjxo9HeWNeT</x:v>
      </x:c>
      <x:c r="G39" s="59" t="str">
        <x:v>Playlist</x:v>
      </x:c>
      <x:c r="H39" s="57" t="str">
        <x:v>2021 Altium Designer course — Playlist 2</x:v>
      </x:c>
      <x:c r="I39" s="59" t="str">
        <x:v>Altium Designer</x:v>
      </x:c>
      <x:c r="J39" s="59" t="str">
        <x:v>Playlist archive</x:v>
      </x:c>
      <x:c r="K39" s="57" t="str">
        <x:v>2021 Altium course archive</x:v>
      </x:c>
      <x:c r="L39" s="57" t="str">
        <x:v>Playlist recovered; individual video URL not recovered</x:v>
      </x:c>
      <x:c r="M39" s="57" t="str">
        <x:v>Recovered from the second 2021 Altium course playlist; direct video URL not recovered.</x:v>
      </x:c>
      <x:c r="N39" s="59" t="e">
        <x:f>HYPERLINK(F39,"Open")</x:f>
      </x:c>
    </x:row>
    <x:row r="40" ht="30" hidden="0" customHeight="1">
      <x:c r="A40" s="59" t="n">
        <x:v>36</x:v>
      </x:c>
      <x:c r="B40" s="59" t="str">
        <x:v>2022</x:v>
      </x:c>
      <x:c r="C40" s="59" t="str">
        <x:v>Various</x:v>
      </x:c>
      <x:c r="D40" s="57" t="str">
        <x:v>How to download and Install Altium 2022 - Altium Designer</x:v>
      </x:c>
      <x:c r="E40" s="59" t="str">
        <x:v>MctyE99XnPA</x:v>
      </x:c>
      <x:c r="F40" s="59" t="str">
        <x:v>https://youtu.be/MctyE99XnPA</x:v>
      </x:c>
      <x:c r="G40" s="59" t="str">
        <x:v>Direct video</x:v>
      </x:c>
      <x:c r="H40" s="57" t="str">
        <x:v>2022 Altium production batch</x:v>
      </x:c>
      <x:c r="I40" s="59" t="str">
        <x:v>Altium Designer</x:v>
      </x:c>
      <x:c r="J40" s="59" t="str">
        <x:v>Gmail/Drive archive</x:v>
      </x:c>
      <x:c r="K40" s="57" t="str">
        <x:v>2022 Altium production correspondence</x:v>
      </x:c>
      <x:c r="L40" s="57" t="str">
        <x:v>URL recovered; current public status not independently verified</x:v>
      </x:c>
      <x:c r="M40" s="57" t="str">
        <x:v>Named video recovered from the 2022 Altium production archive.</x:v>
      </x:c>
      <x:c r="N40" s="59" t="e">
        <x:f>HYPERLINK(F40,"Open")</x:f>
      </x:c>
    </x:row>
    <x:row r="41" ht="30" hidden="0" customHeight="1">
      <x:c r="A41" s="59" t="n">
        <x:v>37</x:v>
      </x:c>
      <x:c r="B41" s="59" t="str">
        <x:v>2022</x:v>
      </x:c>
      <x:c r="C41" s="59" t="str">
        <x:v>Various</x:v>
      </x:c>
      <x:c r="D41" s="57" t="str">
        <x:v>How to switch UI Dark and Light theme - Altium Designer</x:v>
      </x:c>
      <x:c r="E41" s="59" t="str">
        <x:v>bmMsJ9U41sk</x:v>
      </x:c>
      <x:c r="F41" s="59" t="str">
        <x:v>https://youtu.be/bmMsJ9U41sk</x:v>
      </x:c>
      <x:c r="G41" s="59" t="str">
        <x:v>Direct video</x:v>
      </x:c>
      <x:c r="H41" s="57" t="str">
        <x:v>2022 Altium production batch</x:v>
      </x:c>
      <x:c r="I41" s="59" t="str">
        <x:v>Altium Designer</x:v>
      </x:c>
      <x:c r="J41" s="59" t="str">
        <x:v>Gmail/Drive archive</x:v>
      </x:c>
      <x:c r="K41" s="57" t="str">
        <x:v>2022 Altium production correspondence</x:v>
      </x:c>
      <x:c r="L41" s="57" t="str">
        <x:v>URL recovered; current public status not independently verified</x:v>
      </x:c>
      <x:c r="M41" s="57" t="str">
        <x:v>Named video recovered from the 2022 Altium production archive.</x:v>
      </x:c>
      <x:c r="N41" s="59" t="e">
        <x:f>HYPERLINK(F41,"Open")</x:f>
      </x:c>
    </x:row>
    <x:row r="42" ht="30" hidden="0" customHeight="1">
      <x:c r="A42" s="59" t="n">
        <x:v>38</x:v>
      </x:c>
      <x:c r="B42" s="59" t="str">
        <x:v>2022</x:v>
      </x:c>
      <x:c r="C42" s="59" t="str">
        <x:v>Various</x:v>
      </x:c>
      <x:c r="D42" s="57" t="str">
        <x:v>Modified Arduino UNO Schematic - Altium Designer</x:v>
      </x:c>
      <x:c r="E42" s="59" t="str">
        <x:v>5Nus7vQMEog</x:v>
      </x:c>
      <x:c r="F42" s="59" t="str">
        <x:v>https://youtu.be/5Nus7vQMEog</x:v>
      </x:c>
      <x:c r="G42" s="59" t="str">
        <x:v>Direct video</x:v>
      </x:c>
      <x:c r="H42" s="57" t="str">
        <x:v>2022 Altium production batch</x:v>
      </x:c>
      <x:c r="I42" s="59" t="str">
        <x:v>Altium Designer</x:v>
      </x:c>
      <x:c r="J42" s="59" t="str">
        <x:v>Gmail/Drive archive</x:v>
      </x:c>
      <x:c r="K42" s="57" t="str">
        <x:v>2022 Altium production correspondence</x:v>
      </x:c>
      <x:c r="L42" s="57" t="str">
        <x:v>URL recovered; current public status not independently verified</x:v>
      </x:c>
      <x:c r="M42" s="57" t="str">
        <x:v>Named video recovered from the 2022 Altium production archive.</x:v>
      </x:c>
      <x:c r="N42" s="59" t="e">
        <x:f>HYPERLINK(F42,"Open")</x:f>
      </x:c>
    </x:row>
    <x:row r="43" ht="30" hidden="0" customHeight="1">
      <x:c r="A43" s="59" t="n">
        <x:v>39</x:v>
      </x:c>
      <x:c r="B43" s="59" t="str">
        <x:v>2022</x:v>
      </x:c>
      <x:c r="C43" s="59" t="str">
        <x:v>Various</x:v>
      </x:c>
      <x:c r="D43" s="57" t="str">
        <x:v>Make 3D Viewer for PCB Smoother with Antialiasing Feature - Altium Designer</x:v>
      </x:c>
      <x:c r="E43" s="59" t="str">
        <x:v>XxjD7yUgMls</x:v>
      </x:c>
      <x:c r="F43" s="59" t="str">
        <x:v>https://youtu.be/XxjD7yUgMls</x:v>
      </x:c>
      <x:c r="G43" s="59" t="str">
        <x:v>Direct video</x:v>
      </x:c>
      <x:c r="H43" s="57" t="str">
        <x:v>2022 Altium production batch</x:v>
      </x:c>
      <x:c r="I43" s="59" t="str">
        <x:v>Altium Designer</x:v>
      </x:c>
      <x:c r="J43" s="59" t="str">
        <x:v>Gmail/Drive archive</x:v>
      </x:c>
      <x:c r="K43" s="57" t="str">
        <x:v>2022 Altium production correspondence</x:v>
      </x:c>
      <x:c r="L43" s="57" t="str">
        <x:v>URL recovered; current public status not independently verified</x:v>
      </x:c>
      <x:c r="M43" s="57" t="str">
        <x:v>Named video recovered from the 2022 Altium production archive.</x:v>
      </x:c>
      <x:c r="N43" s="59" t="e">
        <x:f>HYPERLINK(F43,"Open")</x:f>
      </x:c>
    </x:row>
    <x:row r="44" ht="30" hidden="0" customHeight="1">
      <x:c r="A44" s="59" t="n">
        <x:v>40</x:v>
      </x:c>
      <x:c r="B44" s="59" t="str">
        <x:v>2022</x:v>
      </x:c>
      <x:c r="C44" s="59" t="str">
        <x:v>Various</x:v>
      </x:c>
      <x:c r="D44" s="57" t="str">
        <x:v>Speed Up Your PCB Design Process With Integrated Schematic Creation - Altium Designer</x:v>
      </x:c>
      <x:c r="E44" s="59" t="str">
        <x:v>XEhOmIe6iAE</x:v>
      </x:c>
      <x:c r="F44" s="59" t="str">
        <x:v>https://youtu.be/XEhOmIe6iAE</x:v>
      </x:c>
      <x:c r="G44" s="59" t="str">
        <x:v>Direct video</x:v>
      </x:c>
      <x:c r="H44" s="57" t="str">
        <x:v>2022 Altium production batch</x:v>
      </x:c>
      <x:c r="I44" s="59" t="str">
        <x:v>Altium Designer</x:v>
      </x:c>
      <x:c r="J44" s="59" t="str">
        <x:v>Gmail/Drive archive</x:v>
      </x:c>
      <x:c r="K44" s="57" t="str">
        <x:v>2022 Altium production correspondence</x:v>
      </x:c>
      <x:c r="L44" s="57" t="str">
        <x:v>URL recovered; current public status not independently verified</x:v>
      </x:c>
      <x:c r="M44" s="57" t="str">
        <x:v>Named video recovered from the 2022 Altium production archive.</x:v>
      </x:c>
      <x:c r="N44" s="59" t="e">
        <x:f>HYPERLINK(F44,"Open")</x:f>
      </x:c>
    </x:row>
    <x:row r="45" ht="30" hidden="0" customHeight="1">
      <x:c r="A45" s="59" t="n">
        <x:v>41</x:v>
      </x:c>
      <x:c r="B45" s="59" t="str">
        <x:v>2022</x:v>
      </x:c>
      <x:c r="C45" s="59" t="str">
        <x:v>Various</x:v>
      </x:c>
      <x:c r="D45" s="57" t="str">
        <x:v>Placing the capacitors in Altium Designer</x:v>
      </x:c>
      <x:c r="E45" s="59" t="str">
        <x:v>7hCfGYnZQtE</x:v>
      </x:c>
      <x:c r="F45" s="59" t="str">
        <x:v>https://youtu.be/7hCfGYnZQtE</x:v>
      </x:c>
      <x:c r="G45" s="59" t="str">
        <x:v>Direct video</x:v>
      </x:c>
      <x:c r="H45" s="57" t="str">
        <x:v>2022 Altium production batch</x:v>
      </x:c>
      <x:c r="I45" s="59" t="str">
        <x:v>Altium Designer</x:v>
      </x:c>
      <x:c r="J45" s="59" t="str">
        <x:v>Gmail/Drive archive</x:v>
      </x:c>
      <x:c r="K45" s="57" t="str">
        <x:v>2022 Altium production correspondence</x:v>
      </x:c>
      <x:c r="L45" s="57" t="str">
        <x:v>URL recovered; current public status not independently verified</x:v>
      </x:c>
      <x:c r="M45" s="57" t="str">
        <x:v>Named video recovered from the 2022 Altium production archive.</x:v>
      </x:c>
      <x:c r="N45" s="59" t="e">
        <x:f>HYPERLINK(F45,"Open")</x:f>
      </x:c>
    </x:row>
    <x:row r="46" ht="30" hidden="0" customHeight="1">
      <x:c r="A46" s="59" t="n">
        <x:v>42</x:v>
      </x:c>
      <x:c r="B46" s="59" t="str">
        <x:v>2022</x:v>
      </x:c>
      <x:c r="C46" s="59" t="str">
        <x:v>Various</x:v>
      </x:c>
      <x:c r="D46" s="57" t="str">
        <x:v>Altium: Helping you search for what you need</x:v>
      </x:c>
      <x:c r="E46" s="59" t="str"/>
      <x:c r="F46" s="59" t="str"/>
      <x:c r="G46" s="59" t="str">
        <x:v>Missing</x:v>
      </x:c>
      <x:c r="H46" s="57" t="str">
        <x:v>2022 Altium production batch</x:v>
      </x:c>
      <x:c r="I46" s="59" t="str">
        <x:v>Altium Designer</x:v>
      </x:c>
      <x:c r="J46" s="59" t="str">
        <x:v>Gmail/Drive archive</x:v>
      </x:c>
      <x:c r="K46" s="57" t="str">
        <x:v>2022 Altium production correspondence</x:v>
      </x:c>
      <x:c r="L46" s="57" t="str">
        <x:v>Title recovered; individual video URL not recovered</x:v>
      </x:c>
      <x:c r="M46" s="57" t="str">
        <x:v>Title recovered, but no unique video ID or URL was found. The archive also states that 68 videos were uploaded/scheduled in the wider batch.</x:v>
      </x:c>
      <x:c r="N46" s="59" t="str">
        <x:f>""</x:f>
      </x:c>
    </x:row>
    <x:row r="47" ht="30" hidden="0" customHeight="1">
      <x:c r="A47" s="59" t="n">
        <x:v>43</x:v>
      </x:c>
      <x:c r="B47" s="59" t="str">
        <x:v>2022</x:v>
      </x:c>
      <x:c r="C47" s="59" t="str">
        <x:v>Various</x:v>
      </x:c>
      <x:c r="D47" s="57" t="str">
        <x:v>How to configure the board shape and location of your Altium Designer circuit</x:v>
      </x:c>
      <x:c r="E47" s="59" t="str"/>
      <x:c r="F47" s="59" t="str"/>
      <x:c r="G47" s="59" t="str">
        <x:v>Missing</x:v>
      </x:c>
      <x:c r="H47" s="57" t="str">
        <x:v>2022 Altium production batch</x:v>
      </x:c>
      <x:c r="I47" s="59" t="str">
        <x:v>Altium Designer</x:v>
      </x:c>
      <x:c r="J47" s="59" t="str">
        <x:v>Gmail/Drive archive</x:v>
      </x:c>
      <x:c r="K47" s="57" t="str">
        <x:v>2022 Altium production correspondence</x:v>
      </x:c>
      <x:c r="L47" s="57" t="str">
        <x:v>Title recovered; individual video URL not recovered</x:v>
      </x:c>
      <x:c r="M47" s="57" t="str">
        <x:v>Title recovered, but no unique video ID or URL was found. The archive also states that 68 videos were uploaded/scheduled in the wider batch.</x:v>
      </x:c>
      <x:c r="N47" s="59" t="str">
        <x:f>""</x:f>
      </x:c>
    </x:row>
    <x:row r="48" ht="30" hidden="0" customHeight="1">
      <x:c r="A48" s="59" t="n">
        <x:v>44</x:v>
      </x:c>
      <x:c r="B48" s="59" t="str">
        <x:v>2022</x:v>
      </x:c>
      <x:c r="C48" s="59" t="str">
        <x:v>Various</x:v>
      </x:c>
      <x:c r="D48" s="57" t="str">
        <x:v>Setting up the grid in Altium Designer</x:v>
      </x:c>
      <x:c r="E48" s="59" t="str"/>
      <x:c r="F48" s="59" t="str"/>
      <x:c r="G48" s="59" t="str">
        <x:v>Missing</x:v>
      </x:c>
      <x:c r="H48" s="57" t="str">
        <x:v>2022 Altium production batch</x:v>
      </x:c>
      <x:c r="I48" s="59" t="str">
        <x:v>Altium Designer</x:v>
      </x:c>
      <x:c r="J48" s="59" t="str">
        <x:v>Gmail/Drive archive</x:v>
      </x:c>
      <x:c r="K48" s="57" t="str">
        <x:v>2022 Altium production correspondence</x:v>
      </x:c>
      <x:c r="L48" s="57" t="str">
        <x:v>Title recovered; individual video URL not recovered</x:v>
      </x:c>
      <x:c r="M48" s="57" t="str">
        <x:v>Title recovered, but no unique video ID or URL was found. The archive also states that 68 videos were uploaded/scheduled in the wider batch.</x:v>
      </x:c>
      <x:c r="N48" s="59" t="str">
        <x:f>""</x:f>
      </x:c>
    </x:row>
    <x:row r="49" ht="30" hidden="0" customHeight="1">
      <x:c r="A49" s="59" t="n">
        <x:v>45</x:v>
      </x:c>
      <x:c r="B49" s="59" t="str">
        <x:v>Pre-2025 (date unclear)</x:v>
      </x:c>
      <x:c r="C49" s="59" t="str">
        <x:v>Unknown</x:v>
      </x:c>
      <x:c r="D49" s="57" t="str">
        <x:v>Voltage Sensor using Altium Desinger</x:v>
      </x:c>
      <x:c r="E49" s="59" t="str">
        <x:v>3HaY1IQKNx0</x:v>
      </x:c>
      <x:c r="F49" s="59" t="str">
        <x:v>https://youtu.be/3HaY1IQKNx0</x:v>
      </x:c>
      <x:c r="G49" s="59" t="str">
        <x:v>Direct video</x:v>
      </x:c>
      <x:c r="H49" s="57" t="str">
        <x:v>Historical EET Altium uploads</x:v>
      </x:c>
      <x:c r="I49" s="59" t="str">
        <x:v>Altium Designer</x:v>
      </x:c>
      <x:c r="J49" s="59" t="str">
        <x:v>YouTube notification</x:v>
      </x:c>
      <x:c r="K49" s="57" t="str">
        <x:v>Educational Engineering Team YouTube notification archive</x:v>
      </x:c>
      <x:c r="L49" s="57" t="str">
        <x:v>URL recovered; current public status not independently verified</x:v>
      </x:c>
      <x:c r="M49" s="57" t="str">
        <x:v>Exact publication year was not safely resolved from the recovered notification metadata.</x:v>
      </x:c>
      <x:c r="N49" s="59" t="e">
        <x:f>HYPERLINK(F49,"Open")</x:f>
      </x:c>
    </x:row>
    <x:row r="50" ht="30" hidden="0" customHeight="1">
      <x:c r="A50" s="59" t="n">
        <x:v>46</x:v>
      </x:c>
      <x:c r="B50" s="59" t="str">
        <x:v>Pre-2025 (date unclear)</x:v>
      </x:c>
      <x:c r="C50" s="59" t="str">
        <x:v>Unknown</x:v>
      </x:c>
      <x:c r="D50" s="57" t="str">
        <x:v>Design Relay module PCB using Altium designer</x:v>
      </x:c>
      <x:c r="E50" s="59" t="str">
        <x:v>NtBA3B24a7M</x:v>
      </x:c>
      <x:c r="F50" s="59" t="str">
        <x:v>https://youtu.be/NtBA3B24a7M</x:v>
      </x:c>
      <x:c r="G50" s="59" t="str">
        <x:v>Direct video</x:v>
      </x:c>
      <x:c r="H50" s="57" t="str">
        <x:v>Historical EET Altium uploads</x:v>
      </x:c>
      <x:c r="I50" s="59" t="str">
        <x:v>Altium Designer</x:v>
      </x:c>
      <x:c r="J50" s="59" t="str">
        <x:v>YouTube notification</x:v>
      </x:c>
      <x:c r="K50" s="57" t="str">
        <x:v>Educational Engineering Team YouTube notification archive</x:v>
      </x:c>
      <x:c r="L50" s="57" t="str">
        <x:v>URL recovered; current public status not independently verified</x:v>
      </x:c>
      <x:c r="M50" s="57" t="str">
        <x:v>Exact publication year was not safely resolved from the recovered notification metadata.</x:v>
      </x:c>
      <x:c r="N50" s="59" t="e">
        <x:f>HYPERLINK(F50,"Open")</x:f>
      </x:c>
    </x:row>
    <x:row r="51" ht="30" hidden="0" customHeight="1">
      <x:c r="A51" s="59" t="n">
        <x:v>47</x:v>
      </x:c>
      <x:c r="B51" s="59" t="str">
        <x:v>Pre-2025 (date unclear)</x:v>
      </x:c>
      <x:c r="C51" s="59" t="str">
        <x:v>Unknown</x:v>
      </x:c>
      <x:c r="D51" s="57" t="str">
        <x:v>Design ESP32 with LCD PCB using Altium designer</x:v>
      </x:c>
      <x:c r="E51" s="59" t="str">
        <x:v>c9fhAuKBSg0</x:v>
      </x:c>
      <x:c r="F51" s="59" t="str">
        <x:v>https://youtu.be/c9fhAuKBSg0</x:v>
      </x:c>
      <x:c r="G51" s="59" t="str">
        <x:v>Direct video</x:v>
      </x:c>
      <x:c r="H51" s="57" t="str">
        <x:v>Historical EET Altium uploads</x:v>
      </x:c>
      <x:c r="I51" s="59" t="str">
        <x:v>Altium Designer</x:v>
      </x:c>
      <x:c r="J51" s="59" t="str">
        <x:v>YouTube notification</x:v>
      </x:c>
      <x:c r="K51" s="57" t="str">
        <x:v>Educational Engineering Team YouTube notification archive</x:v>
      </x:c>
      <x:c r="L51" s="57" t="str">
        <x:v>URL recovered; current public status not independently verified</x:v>
      </x:c>
      <x:c r="M51" s="57" t="str">
        <x:v>Exact publication year was not safely resolved from the recovered notification metadata.</x:v>
      </x:c>
      <x:c r="N51" s="59" t="e">
        <x:f>HYPERLINK(F51,"Open")</x:f>
      </x:c>
    </x:row>
    <x:row r="52" ht="30" hidden="0" customHeight="1">
      <x:c r="A52" s="59" t="n">
        <x:v>48</x:v>
      </x:c>
      <x:c r="B52" s="59" t="str">
        <x:v>Pre-2025 (date unclear)</x:v>
      </x:c>
      <x:c r="C52" s="59" t="str">
        <x:v>Unknown</x:v>
      </x:c>
      <x:c r="D52" s="57" t="str">
        <x:v>How to quickly and easily extract step files from Altium designer</x:v>
      </x:c>
      <x:c r="E52" s="59" t="str">
        <x:v>h7O2TjKy5Zw</x:v>
      </x:c>
      <x:c r="F52" s="59" t="str">
        <x:v>https://youtu.be/h7O2TjKy5Zw</x:v>
      </x:c>
      <x:c r="G52" s="59" t="str">
        <x:v>Direct video</x:v>
      </x:c>
      <x:c r="H52" s="57" t="str">
        <x:v>Historical EET Altium uploads</x:v>
      </x:c>
      <x:c r="I52" s="59" t="str">
        <x:v>Altium Designer</x:v>
      </x:c>
      <x:c r="J52" s="59" t="str">
        <x:v>YouTube notification</x:v>
      </x:c>
      <x:c r="K52" s="57" t="str">
        <x:v>Educational Engineering Team YouTube notification archive</x:v>
      </x:c>
      <x:c r="L52" s="57" t="str">
        <x:v>URL recovered; current public status not independently verified</x:v>
      </x:c>
      <x:c r="M52" s="57" t="str">
        <x:v>Exact publication year was not safely resolved from the recovered notification metadata.</x:v>
      </x:c>
      <x:c r="N52" s="59" t="e">
        <x:f>HYPERLINK(F52,"Open")</x:f>
      </x:c>
    </x:row>
    <x:row r="53" ht="30" hidden="0" customHeight="1">
      <x:c r="A53" s="59" t="n">
        <x:v>49</x:v>
      </x:c>
      <x:c r="B53" s="59" t="str">
        <x:v>Pre-2025 (date unclear)</x:v>
      </x:c>
      <x:c r="C53" s="59" t="str">
        <x:v>Unknown</x:v>
      </x:c>
      <x:c r="D53" s="57" t="str">
        <x:v>Design Bluetooth module with Arduino nano using Altium designer</x:v>
      </x:c>
      <x:c r="E53" s="59" t="str">
        <x:v>Mphb6qw1OLw</x:v>
      </x:c>
      <x:c r="F53" s="59" t="str">
        <x:v>https://youtu.be/Mphb6qw1OLw</x:v>
      </x:c>
      <x:c r="G53" s="59" t="str">
        <x:v>Direct video</x:v>
      </x:c>
      <x:c r="H53" s="57" t="str">
        <x:v>Historical EET Altium uploads</x:v>
      </x:c>
      <x:c r="I53" s="59" t="str">
        <x:v>Altium Designer</x:v>
      </x:c>
      <x:c r="J53" s="59" t="str">
        <x:v>YouTube notification</x:v>
      </x:c>
      <x:c r="K53" s="57" t="str">
        <x:v>Educational Engineering Team YouTube notification archive</x:v>
      </x:c>
      <x:c r="L53" s="57" t="str">
        <x:v>URL recovered; current public status not independently verified</x:v>
      </x:c>
      <x:c r="M53" s="57" t="str">
        <x:v>Exact publication year was not safely resolved from the recovered notification metadata.</x:v>
      </x:c>
      <x:c r="N53" s="59" t="e">
        <x:f>HYPERLINK(F53,"Open")</x:f>
      </x:c>
    </x:row>
    <x:row r="54" ht="30" hidden="0" customHeight="1">
      <x:c r="A54" s="59" t="n">
        <x:v>50</x:v>
      </x:c>
      <x:c r="B54" s="59" t="str">
        <x:v>Pre-2025 (date unclear)</x:v>
      </x:c>
      <x:c r="C54" s="59" t="str">
        <x:v>Unknown</x:v>
      </x:c>
      <x:c r="D54" s="57" t="str">
        <x:v>Design Full bridge rectifier PCB using Altium designer</x:v>
      </x:c>
      <x:c r="E54" s="59" t="str">
        <x:v>p8fiEBc6ye0</x:v>
      </x:c>
      <x:c r="F54" s="59" t="str">
        <x:v>https://youtu.be/p8fiEBc6ye0</x:v>
      </x:c>
      <x:c r="G54" s="59" t="str">
        <x:v>Direct video</x:v>
      </x:c>
      <x:c r="H54" s="57" t="str">
        <x:v>Historical EET Altium uploads</x:v>
      </x:c>
      <x:c r="I54" s="59" t="str">
        <x:v>Altium Designer</x:v>
      </x:c>
      <x:c r="J54" s="59" t="str">
        <x:v>YouTube notification</x:v>
      </x:c>
      <x:c r="K54" s="57" t="str">
        <x:v>Educational Engineering Team YouTube notification archive</x:v>
      </x:c>
      <x:c r="L54" s="57" t="str">
        <x:v>URL recovered; current public status not independently verified</x:v>
      </x:c>
      <x:c r="M54" s="57" t="str">
        <x:v>Exact publication year was not safely resolved from the recovered notification metadata.</x:v>
      </x:c>
      <x:c r="N54" s="59" t="e">
        <x:f>HYPERLINK(F54,"Open")</x:f>
      </x:c>
    </x:row>
    <x:row r="55" ht="30" hidden="0" customHeight="1">
      <x:c r="A55" s="59" t="n">
        <x:v>51</x:v>
      </x:c>
      <x:c r="B55" s="59" t="str">
        <x:v>Pre-2025 (date unclear)</x:v>
      </x:c>
      <x:c r="C55" s="59" t="str">
        <x:v>Unknown</x:v>
      </x:c>
      <x:c r="D55" s="57" t="str">
        <x:v>Lamp Dimmer using Altium Designer</x:v>
      </x:c>
      <x:c r="E55" s="59" t="str">
        <x:v>5Z0biRZTdJ0</x:v>
      </x:c>
      <x:c r="F55" s="59" t="str">
        <x:v>https://youtu.be/5Z0biRZTdJ0</x:v>
      </x:c>
      <x:c r="G55" s="59" t="str">
        <x:v>Direct video</x:v>
      </x:c>
      <x:c r="H55" s="57" t="str">
        <x:v>Historical EET Altium uploads</x:v>
      </x:c>
      <x:c r="I55" s="59" t="str">
        <x:v>Altium Designer</x:v>
      </x:c>
      <x:c r="J55" s="59" t="str">
        <x:v>YouTube notification</x:v>
      </x:c>
      <x:c r="K55" s="57" t="str">
        <x:v>Educational Engineering Team YouTube notification archive</x:v>
      </x:c>
      <x:c r="L55" s="57" t="str">
        <x:v>URL recovered; current public status not independently verified</x:v>
      </x:c>
      <x:c r="M55" s="57" t="str">
        <x:v>Exact publication year was not safely resolved from the recovered notification metadata.</x:v>
      </x:c>
      <x:c r="N55" s="59" t="e">
        <x:f>HYPERLINK(F55,"Open")</x:f>
      </x:c>
    </x:row>
    <x:row r="56" ht="30" hidden="0" customHeight="1">
      <x:c r="A56" s="59" t="n">
        <x:v>52</x:v>
      </x:c>
      <x:c r="B56" s="59" t="str">
        <x:v>Pre-2025 (date unclear)</x:v>
      </x:c>
      <x:c r="C56" s="59" t="str">
        <x:v>Unknown</x:v>
      </x:c>
      <x:c r="D56" s="57" t="str">
        <x:v>Design A Temperature Sensor With Pic16f877a Using Altium Designer</x:v>
      </x:c>
      <x:c r="E56" s="59" t="str">
        <x:v>XpNYfMPdOUw</x:v>
      </x:c>
      <x:c r="F56" s="59" t="str">
        <x:v>https://youtu.be/XpNYfMPdOUw</x:v>
      </x:c>
      <x:c r="G56" s="59" t="str">
        <x:v>Direct video</x:v>
      </x:c>
      <x:c r="H56" s="57" t="str">
        <x:v>Historical EET Altium uploads</x:v>
      </x:c>
      <x:c r="I56" s="59" t="str">
        <x:v>Altium Designer</x:v>
      </x:c>
      <x:c r="J56" s="59" t="str">
        <x:v>YouTube notification</x:v>
      </x:c>
      <x:c r="K56" s="57" t="str">
        <x:v>Educational Engineering Team YouTube notification archive</x:v>
      </x:c>
      <x:c r="L56" s="57" t="str">
        <x:v>URL recovered; current public status not independently verified</x:v>
      </x:c>
      <x:c r="M56" s="57" t="str">
        <x:v>Exact publication year was not safely resolved from the recovered notification metadata.</x:v>
      </x:c>
      <x:c r="N56" s="59" t="e">
        <x:f>HYPERLINK(F56,"Open")</x:f>
      </x:c>
    </x:row>
    <x:row r="57" ht="30" hidden="0" customHeight="1">
      <x:c r="A57" s="59" t="n">
        <x:v>53</x:v>
      </x:c>
      <x:c r="B57" s="59" t="str">
        <x:v>Pre-2025 (date unclear)</x:v>
      </x:c>
      <x:c r="C57" s="59" t="str">
        <x:v>Unknown</x:v>
      </x:c>
      <x:c r="D57" s="57" t="str">
        <x:v>Design Motion Sensor with ESP32 using Altium designer</x:v>
      </x:c>
      <x:c r="E57" s="59" t="str">
        <x:v>QYD8xXVN5kQ</x:v>
      </x:c>
      <x:c r="F57" s="59" t="str">
        <x:v>https://youtu.be/QYD8xXVN5kQ</x:v>
      </x:c>
      <x:c r="G57" s="59" t="str">
        <x:v>Direct video</x:v>
      </x:c>
      <x:c r="H57" s="57" t="str">
        <x:v>Historical EET Altium uploads</x:v>
      </x:c>
      <x:c r="I57" s="59" t="str">
        <x:v>Altium Designer</x:v>
      </x:c>
      <x:c r="J57" s="59" t="str">
        <x:v>YouTube notification</x:v>
      </x:c>
      <x:c r="K57" s="57" t="str">
        <x:v>Educational Engineering Team YouTube notification archive</x:v>
      </x:c>
      <x:c r="L57" s="57" t="str">
        <x:v>URL recovered; current public status not independently verified</x:v>
      </x:c>
      <x:c r="M57" s="57" t="str">
        <x:v>Exact publication year was not safely resolved from the recovered notification metadata.</x:v>
      </x:c>
      <x:c r="N57" s="59" t="e">
        <x:f>HYPERLINK(F57,"Open")</x:f>
      </x:c>
    </x:row>
    <x:row r="58" ht="30" hidden="0" customHeight="1">
      <x:c r="A58" s="59" t="n">
        <x:v>54</x:v>
      </x:c>
      <x:c r="B58" s="59" t="str">
        <x:v>Pre-2025 (date unclear)</x:v>
      </x:c>
      <x:c r="C58" s="59" t="str">
        <x:v>Unknown</x:v>
      </x:c>
      <x:c r="D58" s="57" t="str">
        <x:v>Touch Sensor using Altium Designer</x:v>
      </x:c>
      <x:c r="E58" s="59" t="str">
        <x:v>Mfyjzh9cW70</x:v>
      </x:c>
      <x:c r="F58" s="59" t="str">
        <x:v>https://youtu.be/Mfyjzh9cW70</x:v>
      </x:c>
      <x:c r="G58" s="59" t="str">
        <x:v>Direct video</x:v>
      </x:c>
      <x:c r="H58" s="57" t="str">
        <x:v>Historical EET Altium uploads</x:v>
      </x:c>
      <x:c r="I58" s="59" t="str">
        <x:v>Altium Designer</x:v>
      </x:c>
      <x:c r="J58" s="59" t="str">
        <x:v>YouTube notification</x:v>
      </x:c>
      <x:c r="K58" s="57" t="str">
        <x:v>Educational Engineering Team YouTube notification archive</x:v>
      </x:c>
      <x:c r="L58" s="57" t="str">
        <x:v>URL recovered; current public status not independently verified</x:v>
      </x:c>
      <x:c r="M58" s="57" t="str">
        <x:v>Exact publication year was not safely resolved from the recovered notification metadata.</x:v>
      </x:c>
      <x:c r="N58" s="59" t="e">
        <x:f>HYPERLINK(F58,"Open")</x:f>
      </x:c>
    </x:row>
    <x:row r="59" ht="30" hidden="0" customHeight="1">
      <x:c r="A59" s="59" t="n">
        <x:v>55</x:v>
      </x:c>
      <x:c r="B59" s="59" t="str">
        <x:v>Pre-2025 (date unclear)</x:v>
      </x:c>
      <x:c r="C59" s="59" t="str">
        <x:v>Unknown</x:v>
      </x:c>
      <x:c r="D59" s="57" t="str">
        <x:v>Design IR sensor PCB using Altium designer</x:v>
      </x:c>
      <x:c r="E59" s="59" t="str">
        <x:v>M32n1n3dXB0</x:v>
      </x:c>
      <x:c r="F59" s="59" t="str">
        <x:v>https://youtu.be/M32n1n3dXB0</x:v>
      </x:c>
      <x:c r="G59" s="59" t="str">
        <x:v>Direct video</x:v>
      </x:c>
      <x:c r="H59" s="57" t="str">
        <x:v>Historical EET Altium uploads</x:v>
      </x:c>
      <x:c r="I59" s="59" t="str">
        <x:v>Altium Designer</x:v>
      </x:c>
      <x:c r="J59" s="59" t="str">
        <x:v>YouTube notification</x:v>
      </x:c>
      <x:c r="K59" s="57" t="str">
        <x:v>Educational Engineering Team YouTube notification archive</x:v>
      </x:c>
      <x:c r="L59" s="57" t="str">
        <x:v>URL recovered; current public status not independently verified</x:v>
      </x:c>
      <x:c r="M59" s="57" t="str">
        <x:v>Exact publication year was not safely resolved from the recovered notification metadata.</x:v>
      </x:c>
      <x:c r="N59" s="59" t="e">
        <x:f>HYPERLINK(F59,"Open")</x:f>
      </x:c>
    </x:row>
    <x:row r="60" ht="30" hidden="0" customHeight="1">
      <x:c r="A60" s="59" t="n">
        <x:v>56</x:v>
      </x:c>
      <x:c r="B60" s="59" t="str">
        <x:v>Pre-2025 (date unclear)</x:v>
      </x:c>
      <x:c r="C60" s="59" t="str">
        <x:v>Unknown</x:v>
      </x:c>
      <x:c r="D60" s="57" t="str">
        <x:v>Altium PCB Designer Feature that will make your life easier</x:v>
      </x:c>
      <x:c r="E60" s="59" t="str">
        <x:v>krjf7XB1uR8</x:v>
      </x:c>
      <x:c r="F60" s="59" t="str">
        <x:v>https://youtu.be/krjf7XB1uR8</x:v>
      </x:c>
      <x:c r="G60" s="59" t="str">
        <x:v>Direct video</x:v>
      </x:c>
      <x:c r="H60" s="57" t="str">
        <x:v>Historical EET Altium uploads</x:v>
      </x:c>
      <x:c r="I60" s="59" t="str">
        <x:v>Altium Designer</x:v>
      </x:c>
      <x:c r="J60" s="59" t="str">
        <x:v>YouTube notification</x:v>
      </x:c>
      <x:c r="K60" s="57" t="str">
        <x:v>Educational Engineering Team YouTube notification archive</x:v>
      </x:c>
      <x:c r="L60" s="57" t="str">
        <x:v>URL recovered; current public status not independently verified</x:v>
      </x:c>
      <x:c r="M60" s="57" t="str">
        <x:v>Exact publication year was not safely resolved from the recovered notification metadata.</x:v>
      </x:c>
      <x:c r="N60" s="59" t="e">
        <x:f>HYPERLINK(F60,"Open")</x:f>
      </x:c>
    </x:row>
    <x:row r="61" ht="30" hidden="0" customHeight="1">
      <x:c r="A61" s="59" t="n">
        <x:v>57</x:v>
      </x:c>
      <x:c r="B61" s="59" t="str">
        <x:v>Pre-2025 (date unclear)</x:v>
      </x:c>
      <x:c r="C61" s="59" t="str">
        <x:v>Unknown</x:v>
      </x:c>
      <x:c r="D61" s="57" t="str">
        <x:v>Download and Install Arduino Pro IDE 2.0.0 - Altium Designer</x:v>
      </x:c>
      <x:c r="E61" s="59" t="str">
        <x:v>Qf7JK2hBIXg</x:v>
      </x:c>
      <x:c r="F61" s="59" t="str">
        <x:v>https://youtu.be/Qf7JK2hBIXg</x:v>
      </x:c>
      <x:c r="G61" s="59" t="str">
        <x:v>Direct video</x:v>
      </x:c>
      <x:c r="H61" s="57" t="str">
        <x:v>Historical EET Altium uploads</x:v>
      </x:c>
      <x:c r="I61" s="59" t="str">
        <x:v>Altium Designer</x:v>
      </x:c>
      <x:c r="J61" s="59" t="str">
        <x:v>YouTube notification</x:v>
      </x:c>
      <x:c r="K61" s="57" t="str">
        <x:v>Educational Engineering Team YouTube notification archive</x:v>
      </x:c>
      <x:c r="L61" s="57" t="str">
        <x:v>URL recovered; current public status not independently verified</x:v>
      </x:c>
      <x:c r="M61" s="57" t="str">
        <x:v>Exact publication year was not safely resolved from the recovered notification metadata.</x:v>
      </x:c>
      <x:c r="N61" s="59" t="e">
        <x:f>HYPERLINK(F61,"Open")</x:f>
      </x:c>
    </x:row>
    <x:row r="62" ht="30" hidden="0" customHeight="1">
      <x:c r="A62" s="59" t="n">
        <x:v>58</x:v>
      </x:c>
      <x:c r="B62" s="59" t="str">
        <x:v>Pre-2025 (date unclear)</x:v>
      </x:c>
      <x:c r="C62" s="59" t="str">
        <x:v>Unknown</x:v>
      </x:c>
      <x:c r="D62" s="57" t="str">
        <x:v>Fix for All of Your LabVIEW LINX and Raspberry Pi Problems - Altium Designer</x:v>
      </x:c>
      <x:c r="E62" s="59" t="str">
        <x:v>lwoXP2GdRAU</x:v>
      </x:c>
      <x:c r="F62" s="59" t="str">
        <x:v>https://youtu.be/lwoXP2GdRAU</x:v>
      </x:c>
      <x:c r="G62" s="59" t="str">
        <x:v>Direct video</x:v>
      </x:c>
      <x:c r="H62" s="57" t="str">
        <x:v>Historical EET Altium uploads</x:v>
      </x:c>
      <x:c r="I62" s="59" t="str">
        <x:v>Altium Designer</x:v>
      </x:c>
      <x:c r="J62" s="59" t="str">
        <x:v>YouTube notification</x:v>
      </x:c>
      <x:c r="K62" s="57" t="str">
        <x:v>Educational Engineering Team YouTube notification archive</x:v>
      </x:c>
      <x:c r="L62" s="57" t="str">
        <x:v>URL recovered; current public status not independently verified</x:v>
      </x:c>
      <x:c r="M62" s="57" t="str">
        <x:v>Exact publication year was not safely resolved from the recovered notification metadata.</x:v>
      </x:c>
      <x:c r="N62" s="59" t="e">
        <x:f>HYPERLINK(F62,"Open")</x:f>
      </x:c>
    </x:row>
    <x:row r="63" ht="30" hidden="0" customHeight="1">
      <x:c r="A63" s="59" t="n">
        <x:v>59</x:v>
      </x:c>
      <x:c r="B63" s="59" t="str">
        <x:v>2023</x:v>
      </x:c>
      <x:c r="C63" s="59" t="str">
        <x:v>March</x:v>
      </x:c>
      <x:c r="D63" s="57" t="str">
        <x:v>Acceleration Sensing Alarm Using ADXL337</x:v>
      </x:c>
      <x:c r="E63" s="59" t="str">
        <x:v>ghBvjUS1MSE</x:v>
      </x:c>
      <x:c r="F63" s="59" t="str">
        <x:v>https://youtu.be/ghBvjUS1MSE</x:v>
      </x:c>
      <x:c r="G63" s="59" t="str">
        <x:v>Direct video</x:v>
      </x:c>
      <x:c r="H63" s="57" t="str">
        <x:v>2023 March Altium batch</x:v>
      </x:c>
      <x:c r="I63" s="59" t="str">
        <x:v>Altium Designer</x:v>
      </x:c>
      <x:c r="J63" s="59" t="str">
        <x:v>Invoice</x:v>
      </x:c>
      <x:c r="K63" s="57" t="str">
        <x:v>Altium EduEngTeam Invoice March 2023</x:v>
      </x:c>
      <x:c r="L63" s="57" t="str">
        <x:v>URL recovered; current public status not independently verified</x:v>
      </x:c>
      <x:c r="M63" s="57" t="str">
        <x:v>Direct URL recovered from the corresponding Altium invoice.</x:v>
      </x:c>
      <x:c r="N63" s="59" t="e">
        <x:f>HYPERLINK(F63,"Open")</x:f>
      </x:c>
    </x:row>
    <x:row r="64" ht="30" hidden="0" customHeight="1">
      <x:c r="A64" s="59" t="n">
        <x:v>60</x:v>
      </x:c>
      <x:c r="B64" s="59" t="str">
        <x:v>2023</x:v>
      </x:c>
      <x:c r="C64" s="59" t="str">
        <x:v>March</x:v>
      </x:c>
      <x:c r="D64" s="57" t="str">
        <x:v>Mini Audio Amplifier Circuit</x:v>
      </x:c>
      <x:c r="E64" s="59" t="str">
        <x:v>StcwxiX4aco</x:v>
      </x:c>
      <x:c r="F64" s="59" t="str">
        <x:v>https://youtu.be/StcwxiX4aco</x:v>
      </x:c>
      <x:c r="G64" s="59" t="str">
        <x:v>Direct video</x:v>
      </x:c>
      <x:c r="H64" s="57" t="str">
        <x:v>2023 March Altium batch</x:v>
      </x:c>
      <x:c r="I64" s="59" t="str">
        <x:v>Altium Designer</x:v>
      </x:c>
      <x:c r="J64" s="59" t="str">
        <x:v>Invoice</x:v>
      </x:c>
      <x:c r="K64" s="57" t="str">
        <x:v>Altium EduEngTeam Invoice March 2023</x:v>
      </x:c>
      <x:c r="L64" s="57" t="str">
        <x:v>URL recovered; current public status not independently verified</x:v>
      </x:c>
      <x:c r="M64" s="57" t="str">
        <x:v>Direct URL recovered from the corresponding Altium invoice.</x:v>
      </x:c>
      <x:c r="N64" s="59" t="e">
        <x:f>HYPERLINK(F64,"Open")</x:f>
      </x:c>
    </x:row>
    <x:row r="65" ht="30" hidden="0" customHeight="1">
      <x:c r="A65" s="59" t="n">
        <x:v>61</x:v>
      </x:c>
      <x:c r="B65" s="59" t="str">
        <x:v>2023</x:v>
      </x:c>
      <x:c r="C65" s="59" t="str">
        <x:v>March</x:v>
      </x:c>
      <x:c r="D65" s="57" t="str">
        <x:v>Current Sensor Switch</x:v>
      </x:c>
      <x:c r="E65" s="59" t="str">
        <x:v>XkR5dt33wxs</x:v>
      </x:c>
      <x:c r="F65" s="59" t="str">
        <x:v>https://youtu.be/XkR5dt33wxs</x:v>
      </x:c>
      <x:c r="G65" s="59" t="str">
        <x:v>Direct video</x:v>
      </x:c>
      <x:c r="H65" s="57" t="str">
        <x:v>2023 March Altium batch</x:v>
      </x:c>
      <x:c r="I65" s="59" t="str">
        <x:v>Altium Designer</x:v>
      </x:c>
      <x:c r="J65" s="59" t="str">
        <x:v>Invoice</x:v>
      </x:c>
      <x:c r="K65" s="57" t="str">
        <x:v>Altium EduEngTeam Invoice March 2023</x:v>
      </x:c>
      <x:c r="L65" s="57" t="str">
        <x:v>URL recovered; current public status not independently verified</x:v>
      </x:c>
      <x:c r="M65" s="57" t="str">
        <x:v>Direct URL recovered from the corresponding Altium invoice.</x:v>
      </x:c>
      <x:c r="N65" s="59" t="e">
        <x:f>HYPERLINK(F65,"Open")</x:f>
      </x:c>
    </x:row>
    <x:row r="66" ht="30" hidden="0" customHeight="1">
      <x:c r="A66" s="59" t="n">
        <x:v>62</x:v>
      </x:c>
      <x:c r="B66" s="59" t="str">
        <x:v>2023</x:v>
      </x:c>
      <x:c r="C66" s="59" t="str">
        <x:v>March</x:v>
      </x:c>
      <x:c r="D66" s="57" t="str">
        <x:v>Audio amplifier circuit using IC LM386</x:v>
      </x:c>
      <x:c r="E66" s="59" t="str">
        <x:v>vjmWAXl5rBo</x:v>
      </x:c>
      <x:c r="F66" s="59" t="str">
        <x:v>https://youtu.be/vjmWAXl5rBo</x:v>
      </x:c>
      <x:c r="G66" s="59" t="str">
        <x:v>Direct video</x:v>
      </x:c>
      <x:c r="H66" s="57" t="str">
        <x:v>2023 March Altium batch</x:v>
      </x:c>
      <x:c r="I66" s="59" t="str">
        <x:v>Altium Designer</x:v>
      </x:c>
      <x:c r="J66" s="59" t="str">
        <x:v>Invoice</x:v>
      </x:c>
      <x:c r="K66" s="57" t="str">
        <x:v>Altium EduEngTeam Invoice March 2023</x:v>
      </x:c>
      <x:c r="L66" s="57" t="str">
        <x:v>URL recovered; current public status not independently verified</x:v>
      </x:c>
      <x:c r="M66" s="57" t="str">
        <x:v>Direct URL recovered from the corresponding Altium invoice.</x:v>
      </x:c>
      <x:c r="N66" s="59" t="e">
        <x:f>HYPERLINK(F66,"Open")</x:f>
      </x:c>
    </x:row>
    <x:row r="67" ht="30" hidden="0" customHeight="1">
      <x:c r="A67" s="59" t="n">
        <x:v>63</x:v>
      </x:c>
      <x:c r="B67" s="59" t="str">
        <x:v>2023</x:v>
      </x:c>
      <x:c r="C67" s="59" t="str">
        <x:v>March</x:v>
      </x:c>
      <x:c r="D67" s="57" t="str">
        <x:v>Thief Door Alarm Using Transistor</x:v>
      </x:c>
      <x:c r="E67" s="59" t="str">
        <x:v>WLs8QpxUcM4</x:v>
      </x:c>
      <x:c r="F67" s="59" t="str">
        <x:v>https://youtu.be/WLs8QpxUcM4</x:v>
      </x:c>
      <x:c r="G67" s="59" t="str">
        <x:v>Direct video</x:v>
      </x:c>
      <x:c r="H67" s="57" t="str">
        <x:v>2023 March Altium batch</x:v>
      </x:c>
      <x:c r="I67" s="59" t="str">
        <x:v>Altium Designer</x:v>
      </x:c>
      <x:c r="J67" s="59" t="str">
        <x:v>Invoice</x:v>
      </x:c>
      <x:c r="K67" s="57" t="str">
        <x:v>Altium EduEngTeam Invoice March 2023</x:v>
      </x:c>
      <x:c r="L67" s="57" t="str">
        <x:v>URL recovered; current public status not independently verified</x:v>
      </x:c>
      <x:c r="M67" s="57" t="str">
        <x:v>Direct URL recovered from the corresponding Altium invoice.</x:v>
      </x:c>
      <x:c r="N67" s="59" t="e">
        <x:f>HYPERLINK(F67,"Open")</x:f>
      </x:c>
    </x:row>
    <x:row r="68" ht="30" hidden="0" customHeight="1">
      <x:c r="A68" s="59" t="n">
        <x:v>64</x:v>
      </x:c>
      <x:c r="B68" s="59" t="str">
        <x:v>2023</x:v>
      </x:c>
      <x:c r="C68" s="59" t="str">
        <x:v>March</x:v>
      </x:c>
      <x:c r="D68" s="57" t="str">
        <x:v>Cupboard Lighting Circuit</x:v>
      </x:c>
      <x:c r="E68" s="59" t="str">
        <x:v>pwLIlhC2xXM</x:v>
      </x:c>
      <x:c r="F68" s="59" t="str">
        <x:v>https://youtu.be/pwLIlhC2xXM</x:v>
      </x:c>
      <x:c r="G68" s="59" t="str">
        <x:v>Direct video</x:v>
      </x:c>
      <x:c r="H68" s="57" t="str">
        <x:v>2023 March Altium batch</x:v>
      </x:c>
      <x:c r="I68" s="59" t="str">
        <x:v>Altium Designer</x:v>
      </x:c>
      <x:c r="J68" s="59" t="str">
        <x:v>Invoice</x:v>
      </x:c>
      <x:c r="K68" s="57" t="str">
        <x:v>Altium EduEngTeam Invoice March 2023</x:v>
      </x:c>
      <x:c r="L68" s="57" t="str">
        <x:v>URL recovered; current public status not independently verified</x:v>
      </x:c>
      <x:c r="M68" s="57" t="str">
        <x:v>Direct URL recovered from the corresponding Altium invoice.</x:v>
      </x:c>
      <x:c r="N68" s="59" t="e">
        <x:f>HYPERLINK(F68,"Open")</x:f>
      </x:c>
    </x:row>
    <x:row r="69" ht="30" hidden="0" customHeight="1">
      <x:c r="A69" s="59" t="n">
        <x:v>65</x:v>
      </x:c>
      <x:c r="B69" s="59" t="str">
        <x:v>2023</x:v>
      </x:c>
      <x:c r="C69" s="59" t="str">
        <x:v>March</x:v>
      </x:c>
      <x:c r="D69" s="57" t="str">
        <x:v>Automated Garage Door Lights Circuit</x:v>
      </x:c>
      <x:c r="E69" s="59" t="str">
        <x:v>e1XZ9Dox7eI</x:v>
      </x:c>
      <x:c r="F69" s="59" t="str">
        <x:v>https://youtu.be/e1XZ9Dox7eI</x:v>
      </x:c>
      <x:c r="G69" s="59" t="str">
        <x:v>Direct video</x:v>
      </x:c>
      <x:c r="H69" s="57" t="str">
        <x:v>2023 March Altium batch</x:v>
      </x:c>
      <x:c r="I69" s="59" t="str">
        <x:v>Altium Designer</x:v>
      </x:c>
      <x:c r="J69" s="59" t="str">
        <x:v>Invoice</x:v>
      </x:c>
      <x:c r="K69" s="57" t="str">
        <x:v>Altium EduEngTeam Invoice March 2023</x:v>
      </x:c>
      <x:c r="L69" s="57" t="str">
        <x:v>URL recovered; current public status not independently verified</x:v>
      </x:c>
      <x:c r="M69" s="57" t="str">
        <x:v>Direct URL recovered from the corresponding Altium invoice.</x:v>
      </x:c>
      <x:c r="N69" s="59" t="e">
        <x:f>HYPERLINK(F69,"Open")</x:f>
      </x:c>
    </x:row>
    <x:row r="70" ht="30" hidden="0" customHeight="1">
      <x:c r="A70" s="59" t="n">
        <x:v>66</x:v>
      </x:c>
      <x:c r="B70" s="59" t="str">
        <x:v>2023</x:v>
      </x:c>
      <x:c r="C70" s="59" t="str">
        <x:v>March</x:v>
      </x:c>
      <x:c r="D70" s="57" t="str">
        <x:v>Pressure Sensor Circuit</x:v>
      </x:c>
      <x:c r="E70" s="59" t="str">
        <x:v>59bSVOnfwM4</x:v>
      </x:c>
      <x:c r="F70" s="59" t="str">
        <x:v>https://youtu.be/59bSVOnfwM4</x:v>
      </x:c>
      <x:c r="G70" s="59" t="str">
        <x:v>Direct video</x:v>
      </x:c>
      <x:c r="H70" s="57" t="str">
        <x:v>2023 March Altium batch</x:v>
      </x:c>
      <x:c r="I70" s="59" t="str">
        <x:v>Altium Designer</x:v>
      </x:c>
      <x:c r="J70" s="59" t="str">
        <x:v>Invoice</x:v>
      </x:c>
      <x:c r="K70" s="57" t="str">
        <x:v>Altium EduEngTeam Invoice March 2023</x:v>
      </x:c>
      <x:c r="L70" s="57" t="str">
        <x:v>URL recovered; current public status not independently verified</x:v>
      </x:c>
      <x:c r="M70" s="57" t="str">
        <x:v>Direct URL recovered from the corresponding Altium invoice.</x:v>
      </x:c>
      <x:c r="N70" s="59" t="e">
        <x:f>HYPERLINK(F70,"Open")</x:f>
      </x:c>
    </x:row>
    <x:row r="71" ht="30" hidden="0" customHeight="1">
      <x:c r="A71" s="59" t="n">
        <x:v>67</x:v>
      </x:c>
      <x:c r="B71" s="59" t="str">
        <x:v>2023</x:v>
      </x:c>
      <x:c r="C71" s="59" t="str">
        <x:v>April</x:v>
      </x:c>
      <x:c r="D71" s="57" t="str">
        <x:v>Air Flow Detector</x:v>
      </x:c>
      <x:c r="E71" s="59" t="str">
        <x:v>ZOiBOIBMx0s</x:v>
      </x:c>
      <x:c r="F71" s="59" t="str">
        <x:v>https://youtu.be/ZOiBOIBMx0s</x:v>
      </x:c>
      <x:c r="G71" s="59" t="str">
        <x:v>Direct video</x:v>
      </x:c>
      <x:c r="H71" s="57" t="str">
        <x:v>2023 April Altium batch</x:v>
      </x:c>
      <x:c r="I71" s="59" t="str">
        <x:v>Altium Designer</x:v>
      </x:c>
      <x:c r="J71" s="59" t="str">
        <x:v>Invoice</x:v>
      </x:c>
      <x:c r="K71" s="57" t="str">
        <x:v>Altium EduEngTeam Invoice April 2023</x:v>
      </x:c>
      <x:c r="L71" s="57" t="str">
        <x:v>URL recovered; current public status not independently verified</x:v>
      </x:c>
      <x:c r="M71" s="57" t="str">
        <x:v>Direct URL recovered from the corresponding Altium invoice.</x:v>
      </x:c>
      <x:c r="N71" s="59" t="e">
        <x:f>HYPERLINK(F71,"Open")</x:f>
      </x:c>
    </x:row>
    <x:row r="72" ht="30" hidden="0" customHeight="1">
      <x:c r="A72" s="59" t="n">
        <x:v>68</x:v>
      </x:c>
      <x:c r="B72" s="59" t="str">
        <x:v>2023</x:v>
      </x:c>
      <x:c r="C72" s="59" t="str">
        <x:v>April</x:v>
      </x:c>
      <x:c r="D72" s="57" t="str">
        <x:v>Ultrasonic Sensor</x:v>
      </x:c>
      <x:c r="E72" s="59" t="str">
        <x:v>Udi3h349L3g</x:v>
      </x:c>
      <x:c r="F72" s="59" t="str">
        <x:v>https://youtu.be/Udi3h349L3g</x:v>
      </x:c>
      <x:c r="G72" s="59" t="str">
        <x:v>Direct video</x:v>
      </x:c>
      <x:c r="H72" s="57" t="str">
        <x:v>2023 April Altium batch</x:v>
      </x:c>
      <x:c r="I72" s="59" t="str">
        <x:v>Altium Designer</x:v>
      </x:c>
      <x:c r="J72" s="59" t="str">
        <x:v>Invoice</x:v>
      </x:c>
      <x:c r="K72" s="57" t="str">
        <x:v>Altium EduEngTeam Invoice April 2023</x:v>
      </x:c>
      <x:c r="L72" s="57" t="str">
        <x:v>URL recovered; current public status not independently verified</x:v>
      </x:c>
      <x:c r="M72" s="57" t="str">
        <x:v>Direct URL recovered from the corresponding Altium invoice.</x:v>
      </x:c>
      <x:c r="N72" s="59" t="e">
        <x:f>HYPERLINK(F72,"Open")</x:f>
      </x:c>
    </x:row>
    <x:row r="73" ht="30" hidden="0" customHeight="1">
      <x:c r="A73" s="59" t="n">
        <x:v>69</x:v>
      </x:c>
      <x:c r="B73" s="59" t="str">
        <x:v>2023</x:v>
      </x:c>
      <x:c r="C73" s="59" t="str">
        <x:v>April</x:v>
      </x:c>
      <x:c r="D73" s="57" t="str">
        <x:v>Light Sensor Triggers</x:v>
      </x:c>
      <x:c r="E73" s="59" t="str">
        <x:v>PZ4BYCB_Hw0</x:v>
      </x:c>
      <x:c r="F73" s="59" t="str">
        <x:v>https://youtu.be/PZ4BYCB_Hw0</x:v>
      </x:c>
      <x:c r="G73" s="59" t="str">
        <x:v>Direct video</x:v>
      </x:c>
      <x:c r="H73" s="57" t="str">
        <x:v>2023 April Altium batch</x:v>
      </x:c>
      <x:c r="I73" s="59" t="str">
        <x:v>Altium Designer</x:v>
      </x:c>
      <x:c r="J73" s="59" t="str">
        <x:v>Invoice</x:v>
      </x:c>
      <x:c r="K73" s="57" t="str">
        <x:v>Altium EduEngTeam Invoice April 2023</x:v>
      </x:c>
      <x:c r="L73" s="57" t="str">
        <x:v>URL recovered; current public status not independently verified</x:v>
      </x:c>
      <x:c r="M73" s="57" t="str">
        <x:v>Direct URL recovered from the corresponding Altium invoice.</x:v>
      </x:c>
      <x:c r="N73" s="59" t="e">
        <x:f>HYPERLINK(F73,"Open")</x:f>
      </x:c>
    </x:row>
    <x:row r="74" ht="30" hidden="0" customHeight="1">
      <x:c r="A74" s="59" t="n">
        <x:v>70</x:v>
      </x:c>
      <x:c r="B74" s="59" t="str">
        <x:v>2023</x:v>
      </x:c>
      <x:c r="C74" s="59" t="str">
        <x:v>April</x:v>
      </x:c>
      <x:c r="D74" s="57" t="str">
        <x:v>water level Sensor</x:v>
      </x:c>
      <x:c r="E74" s="59" t="str">
        <x:v>PZHPLcho98U</x:v>
      </x:c>
      <x:c r="F74" s="59" t="str">
        <x:v>https://youtu.be/PZHPLcho98U</x:v>
      </x:c>
      <x:c r="G74" s="59" t="str">
        <x:v>Direct video</x:v>
      </x:c>
      <x:c r="H74" s="57" t="str">
        <x:v>2023 April Altium batch</x:v>
      </x:c>
      <x:c r="I74" s="59" t="str">
        <x:v>Altium Designer</x:v>
      </x:c>
      <x:c r="J74" s="59" t="str">
        <x:v>Invoice</x:v>
      </x:c>
      <x:c r="K74" s="57" t="str">
        <x:v>Altium EduEngTeam Invoice April 2023</x:v>
      </x:c>
      <x:c r="L74" s="57" t="str">
        <x:v>URL recovered; current public status not independently verified</x:v>
      </x:c>
      <x:c r="M74" s="57" t="str">
        <x:v>Direct URL recovered from the corresponding Altium invoice.</x:v>
      </x:c>
      <x:c r="N74" s="59" t="e">
        <x:f>HYPERLINK(F74,"Open")</x:f>
      </x:c>
    </x:row>
    <x:row r="75" ht="30" hidden="0" customHeight="1">
      <x:c r="A75" s="59" t="n">
        <x:v>71</x:v>
      </x:c>
      <x:c r="B75" s="59" t="str">
        <x:v>2023</x:v>
      </x:c>
      <x:c r="C75" s="59" t="str">
        <x:v>April</x:v>
      </x:c>
      <x:c r="D75" s="57" t="str">
        <x:v>smoke sensor</x:v>
      </x:c>
      <x:c r="E75" s="59" t="str">
        <x:v>Xo_6JoEwgbc</x:v>
      </x:c>
      <x:c r="F75" s="59" t="str">
        <x:v>https://youtu.be/Xo_6JoEwgbc</x:v>
      </x:c>
      <x:c r="G75" s="59" t="str">
        <x:v>Direct video</x:v>
      </x:c>
      <x:c r="H75" s="57" t="str">
        <x:v>2023 April Altium batch</x:v>
      </x:c>
      <x:c r="I75" s="59" t="str">
        <x:v>Altium Designer</x:v>
      </x:c>
      <x:c r="J75" s="59" t="str">
        <x:v>Invoice</x:v>
      </x:c>
      <x:c r="K75" s="57" t="str">
        <x:v>Altium EduEngTeam Invoice April 2023</x:v>
      </x:c>
      <x:c r="L75" s="57" t="str">
        <x:v>URL recovered; current public status not independently verified</x:v>
      </x:c>
      <x:c r="M75" s="57" t="str">
        <x:v>Direct URL recovered from the corresponding Altium invoice.</x:v>
      </x:c>
      <x:c r="N75" s="59" t="e">
        <x:f>HYPERLINK(F75,"Open")</x:f>
      </x:c>
    </x:row>
    <x:row r="76" ht="30" hidden="0" customHeight="1">
      <x:c r="A76" s="59" t="n">
        <x:v>72</x:v>
      </x:c>
      <x:c r="B76" s="59" t="str">
        <x:v>2023</x:v>
      </x:c>
      <x:c r="C76" s="59" t="str">
        <x:v>April</x:v>
      </x:c>
      <x:c r="D76" s="57" t="str">
        <x:v>MQ3 Alcohol sensor</x:v>
      </x:c>
      <x:c r="E76" s="59" t="str">
        <x:v>XDaTqnhFwfw</x:v>
      </x:c>
      <x:c r="F76" s="59" t="str">
        <x:v>https://youtu.be/XDaTqnhFwfw</x:v>
      </x:c>
      <x:c r="G76" s="59" t="str">
        <x:v>Direct video</x:v>
      </x:c>
      <x:c r="H76" s="57" t="str">
        <x:v>2023 April Altium batch</x:v>
      </x:c>
      <x:c r="I76" s="59" t="str">
        <x:v>Altium Designer</x:v>
      </x:c>
      <x:c r="J76" s="59" t="str">
        <x:v>Invoice</x:v>
      </x:c>
      <x:c r="K76" s="57" t="str">
        <x:v>Altium EduEngTeam Invoice April 2023</x:v>
      </x:c>
      <x:c r="L76" s="57" t="str">
        <x:v>URL recovered; current public status not independently verified</x:v>
      </x:c>
      <x:c r="M76" s="57" t="str">
        <x:v>Direct URL recovered from the corresponding Altium invoice.</x:v>
      </x:c>
      <x:c r="N76" s="59" t="e">
        <x:f>HYPERLINK(F76,"Open")</x:f>
      </x:c>
    </x:row>
    <x:row r="77" ht="30" hidden="0" customHeight="1">
      <x:c r="A77" s="59" t="n">
        <x:v>73</x:v>
      </x:c>
      <x:c r="B77" s="59" t="str">
        <x:v>2023</x:v>
      </x:c>
      <x:c r="C77" s="59" t="str">
        <x:v>April</x:v>
      </x:c>
      <x:c r="D77" s="57" t="str">
        <x:v>DS1307 RTC Module</x:v>
      </x:c>
      <x:c r="E77" s="59" t="str">
        <x:v>9EeCw4iHjW8</x:v>
      </x:c>
      <x:c r="F77" s="59" t="str">
        <x:v>https://youtu.be/9EeCw4iHjW8</x:v>
      </x:c>
      <x:c r="G77" s="59" t="str">
        <x:v>Direct video</x:v>
      </x:c>
      <x:c r="H77" s="57" t="str">
        <x:v>2023 April Altium batch</x:v>
      </x:c>
      <x:c r="I77" s="59" t="str">
        <x:v>Altium Designer</x:v>
      </x:c>
      <x:c r="J77" s="59" t="str">
        <x:v>Invoice</x:v>
      </x:c>
      <x:c r="K77" s="57" t="str">
        <x:v>Altium EduEngTeam Invoice April 2023</x:v>
      </x:c>
      <x:c r="L77" s="57" t="str">
        <x:v>URL recovered; current public status not independently verified</x:v>
      </x:c>
      <x:c r="M77" s="57" t="str">
        <x:v>Direct URL recovered from the corresponding Altium invoice.</x:v>
      </x:c>
      <x:c r="N77" s="59" t="e">
        <x:f>HYPERLINK(F77,"Open")</x:f>
      </x:c>
    </x:row>
    <x:row r="78" ht="30" hidden="0" customHeight="1">
      <x:c r="A78" s="59" t="n">
        <x:v>74</x:v>
      </x:c>
      <x:c r="B78" s="59" t="str">
        <x:v>2023</x:v>
      </x:c>
      <x:c r="C78" s="59" t="str">
        <x:v>April</x:v>
      </x:c>
      <x:c r="D78" s="57" t="str">
        <x:v>I2C OLED</x:v>
      </x:c>
      <x:c r="E78" s="59" t="str">
        <x:v>CwOTT-O4OMA</x:v>
      </x:c>
      <x:c r="F78" s="59" t="str">
        <x:v>https://youtu.be/CwOTT-O4OMA</x:v>
      </x:c>
      <x:c r="G78" s="59" t="str">
        <x:v>Direct video</x:v>
      </x:c>
      <x:c r="H78" s="57" t="str">
        <x:v>2023 April Altium batch</x:v>
      </x:c>
      <x:c r="I78" s="59" t="str">
        <x:v>Altium Designer</x:v>
      </x:c>
      <x:c r="J78" s="59" t="str">
        <x:v>Invoice</x:v>
      </x:c>
      <x:c r="K78" s="57" t="str">
        <x:v>Altium EduEngTeam Invoice April 2023</x:v>
      </x:c>
      <x:c r="L78" s="57" t="str">
        <x:v>URL recovered; current public status not independently verified</x:v>
      </x:c>
      <x:c r="M78" s="57" t="str">
        <x:v>Direct URL recovered from the corresponding Altium invoice.</x:v>
      </x:c>
      <x:c r="N78" s="59" t="e">
        <x:f>HYPERLINK(F78,"Open")</x:f>
      </x:c>
    </x:row>
    <x:row r="79" ht="30" hidden="0" customHeight="1">
      <x:c r="A79" s="59" t="n">
        <x:v>75</x:v>
      </x:c>
      <x:c r="B79" s="59" t="str">
        <x:v>2023</x:v>
      </x:c>
      <x:c r="C79" s="59" t="str">
        <x:v>June</x:v>
      </x:c>
      <x:c r="D79" s="57" t="str">
        <x:v>XY Joystick Control in Altium Designer</x:v>
      </x:c>
      <x:c r="E79" s="59" t="str">
        <x:v>6Bh_Kw7laMI</x:v>
      </x:c>
      <x:c r="F79" s="59" t="str">
        <x:v>https://youtu.be/6Bh_Kw7laMI</x:v>
      </x:c>
      <x:c r="G79" s="59" t="str">
        <x:v>Direct video</x:v>
      </x:c>
      <x:c r="H79" s="57" t="str">
        <x:v>2023 June Altium batch</x:v>
      </x:c>
      <x:c r="I79" s="59" t="str">
        <x:v>Altium Designer</x:v>
      </x:c>
      <x:c r="J79" s="59" t="str">
        <x:v>Invoice</x:v>
      </x:c>
      <x:c r="K79" s="57" t="str">
        <x:v>Altium EduEngTeam Invoice June 2023</x:v>
      </x:c>
      <x:c r="L79" s="57" t="str">
        <x:v>URL recovered; current public status not independently verified</x:v>
      </x:c>
      <x:c r="M79" s="57" t="str">
        <x:v>Direct URL recovered from the corresponding Altium invoice.</x:v>
      </x:c>
      <x:c r="N79" s="59" t="e">
        <x:f>HYPERLINK(F79,"Open")</x:f>
      </x:c>
    </x:row>
    <x:row r="80" ht="30" hidden="0" customHeight="1">
      <x:c r="A80" s="59" t="n">
        <x:v>76</x:v>
      </x:c>
      <x:c r="B80" s="59" t="str">
        <x:v>2023</x:v>
      </x:c>
      <x:c r="C80" s="59" t="str">
        <x:v>June</x:v>
      </x:c>
      <x:c r="D80" s="57" t="str">
        <x:v>PIR Motion Sensor in Altium Designer</x:v>
      </x:c>
      <x:c r="E80" s="59" t="str">
        <x:v>RXxcBgoWhJ0</x:v>
      </x:c>
      <x:c r="F80" s="59" t="str">
        <x:v>https://youtu.be/RXxcBgoWhJ0</x:v>
      </x:c>
      <x:c r="G80" s="59" t="str">
        <x:v>Direct video</x:v>
      </x:c>
      <x:c r="H80" s="57" t="str">
        <x:v>2023 June Altium batch</x:v>
      </x:c>
      <x:c r="I80" s="59" t="str">
        <x:v>Altium Designer</x:v>
      </x:c>
      <x:c r="J80" s="59" t="str">
        <x:v>Invoice</x:v>
      </x:c>
      <x:c r="K80" s="57" t="str">
        <x:v>Altium EduEngTeam Invoice June 2023</x:v>
      </x:c>
      <x:c r="L80" s="57" t="str">
        <x:v>URL recovered; current public status not independently verified</x:v>
      </x:c>
      <x:c r="M80" s="57" t="str">
        <x:v>Direct URL recovered from the corresponding Altium invoice.</x:v>
      </x:c>
      <x:c r="N80" s="59" t="e">
        <x:f>HYPERLINK(F80,"Open")</x:f>
      </x:c>
    </x:row>
    <x:row r="81" ht="30" hidden="0" customHeight="1">
      <x:c r="A81" s="59" t="n">
        <x:v>77</x:v>
      </x:c>
      <x:c r="B81" s="59" t="str">
        <x:v>2023</x:v>
      </x:c>
      <x:c r="C81" s="59" t="str">
        <x:v>June</x:v>
      </x:c>
      <x:c r="D81" s="57" t="str">
        <x:v>Humidity Sensor in Altium Designer</x:v>
      </x:c>
      <x:c r="E81" s="59" t="str">
        <x:v>sxFfsjY5kww</x:v>
      </x:c>
      <x:c r="F81" s="59" t="str">
        <x:v>https://youtu.be/sxFfsjY5kww</x:v>
      </x:c>
      <x:c r="G81" s="59" t="str">
        <x:v>Direct video</x:v>
      </x:c>
      <x:c r="H81" s="57" t="str">
        <x:v>2023 June Altium batch</x:v>
      </x:c>
      <x:c r="I81" s="59" t="str">
        <x:v>Altium Designer</x:v>
      </x:c>
      <x:c r="J81" s="59" t="str">
        <x:v>Invoice</x:v>
      </x:c>
      <x:c r="K81" s="57" t="str">
        <x:v>Altium EduEngTeam Invoice June 2023</x:v>
      </x:c>
      <x:c r="L81" s="57" t="str">
        <x:v>URL recovered; current public status not independently verified</x:v>
      </x:c>
      <x:c r="M81" s="57" t="str">
        <x:v>Direct URL recovered from the corresponding Altium invoice.</x:v>
      </x:c>
      <x:c r="N81" s="59" t="e">
        <x:f>HYPERLINK(F81,"Open")</x:f>
      </x:c>
    </x:row>
    <x:row r="82" ht="30" hidden="0" customHeight="1">
      <x:c r="A82" s="59" t="n">
        <x:v>78</x:v>
      </x:c>
      <x:c r="B82" s="59" t="str">
        <x:v>2023</x:v>
      </x:c>
      <x:c r="C82" s="59" t="str">
        <x:v>July</x:v>
      </x:c>
      <x:c r="D82" s="57" t="str">
        <x:v>Advanced 3D Design with Altium Designer</x:v>
      </x:c>
      <x:c r="E82" s="59" t="str">
        <x:v>haXkezD6eKE</x:v>
      </x:c>
      <x:c r="F82" s="59" t="str">
        <x:v>https://youtu.be/haXkezD6eKE</x:v>
      </x:c>
      <x:c r="G82" s="59" t="str">
        <x:v>Direct video</x:v>
      </x:c>
      <x:c r="H82" s="57" t="str">
        <x:v>2023 July Altium batch</x:v>
      </x:c>
      <x:c r="I82" s="59" t="str">
        <x:v>Altium Designer</x:v>
      </x:c>
      <x:c r="J82" s="59" t="str">
        <x:v>Invoice</x:v>
      </x:c>
      <x:c r="K82" s="57" t="str">
        <x:v>Altium EduEngTeam Invoice July 2023</x:v>
      </x:c>
      <x:c r="L82" s="57" t="str">
        <x:v>URL recovered; current public status not independently verified</x:v>
      </x:c>
      <x:c r="M82" s="57" t="str">
        <x:v>Direct URL recovered from the corresponding Altium invoice.</x:v>
      </x:c>
      <x:c r="N82" s="59" t="e">
        <x:f>HYPERLINK(F82,"Open")</x:f>
      </x:c>
    </x:row>
    <x:row r="83" ht="30" hidden="0" customHeight="1">
      <x:c r="A83" s="59" t="n">
        <x:v>79</x:v>
      </x:c>
      <x:c r="B83" s="59" t="str">
        <x:v>2023</x:v>
      </x:c>
      <x:c r="C83" s="59" t="str">
        <x:v>July</x:v>
      </x:c>
      <x:c r="D83" s="57" t="str">
        <x:v>Multi Board Assembly using Altium Designer</x:v>
      </x:c>
      <x:c r="E83" s="59" t="str">
        <x:v>63josriN8kk</x:v>
      </x:c>
      <x:c r="F83" s="59" t="str">
        <x:v>https://youtu.be/63josriN8kk</x:v>
      </x:c>
      <x:c r="G83" s="59" t="str">
        <x:v>Direct video</x:v>
      </x:c>
      <x:c r="H83" s="57" t="str">
        <x:v>2023 July Altium batch</x:v>
      </x:c>
      <x:c r="I83" s="59" t="str">
        <x:v>Altium Designer</x:v>
      </x:c>
      <x:c r="J83" s="59" t="str">
        <x:v>Invoice</x:v>
      </x:c>
      <x:c r="K83" s="57" t="str">
        <x:v>Altium EduEngTeam Invoice July 2023</x:v>
      </x:c>
      <x:c r="L83" s="57" t="str">
        <x:v>URL recovered; current public status not independently verified</x:v>
      </x:c>
      <x:c r="M83" s="57" t="str">
        <x:v>Direct URL recovered from the corresponding Altium invoice.</x:v>
      </x:c>
      <x:c r="N83" s="59" t="e">
        <x:f>HYPERLINK(F83,"Open")</x:f>
      </x:c>
    </x:row>
    <x:row r="84" ht="30" hidden="0" customHeight="1">
      <x:c r="A84" s="59" t="n">
        <x:v>80</x:v>
      </x:c>
      <x:c r="B84" s="59" t="str">
        <x:v>2023</x:v>
      </x:c>
      <x:c r="C84" s="59" t="str">
        <x:v>July</x:v>
      </x:c>
      <x:c r="D84" s="57" t="str">
        <x:v>Interactive Routing with altium designer</x:v>
      </x:c>
      <x:c r="E84" s="59" t="str">
        <x:v>kyHoF9tjlMM</x:v>
      </x:c>
      <x:c r="F84" s="59" t="str">
        <x:v>https://youtu.be/kyHoF9tjlMM</x:v>
      </x:c>
      <x:c r="G84" s="59" t="str">
        <x:v>Direct video</x:v>
      </x:c>
      <x:c r="H84" s="57" t="str">
        <x:v>2023 July Altium batch</x:v>
      </x:c>
      <x:c r="I84" s="59" t="str">
        <x:v>Altium Designer</x:v>
      </x:c>
      <x:c r="J84" s="59" t="str">
        <x:v>Invoice</x:v>
      </x:c>
      <x:c r="K84" s="57" t="str">
        <x:v>Altium EduEngTeam Invoice July 2023</x:v>
      </x:c>
      <x:c r="L84" s="57" t="str">
        <x:v>URL recovered; current public status not independently verified</x:v>
      </x:c>
      <x:c r="M84" s="57" t="str">
        <x:v>Direct URL recovered from the corresponding Altium invoice.</x:v>
      </x:c>
      <x:c r="N84" s="59" t="e">
        <x:f>HYPERLINK(F84,"Open")</x:f>
      </x:c>
    </x:row>
    <x:row r="85" ht="30" hidden="0" customHeight="1">
      <x:c r="A85" s="59" t="n">
        <x:v>81</x:v>
      </x:c>
      <x:c r="B85" s="59" t="str">
        <x:v>2023</x:v>
      </x:c>
      <x:c r="C85" s="59" t="str">
        <x:v>August</x:v>
      </x:c>
      <x:c r="D85" s="57" t="str">
        <x:v>Electret Microphone Amplifier using Altium Designer</x:v>
      </x:c>
      <x:c r="E85" s="59" t="str">
        <x:v>VqHovI5MOvg</x:v>
      </x:c>
      <x:c r="F85" s="59" t="str">
        <x:v>https://youtu.be/VqHovI5MOvg</x:v>
      </x:c>
      <x:c r="G85" s="59" t="str">
        <x:v>Direct video</x:v>
      </x:c>
      <x:c r="H85" s="57" t="str">
        <x:v>2023 August Altium batch</x:v>
      </x:c>
      <x:c r="I85" s="59" t="str">
        <x:v>Altium Designer</x:v>
      </x:c>
      <x:c r="J85" s="59" t="str">
        <x:v>Invoice</x:v>
      </x:c>
      <x:c r="K85" s="57" t="str">
        <x:v>Altium EduEngTeam Invoice August 2023</x:v>
      </x:c>
      <x:c r="L85" s="57" t="str">
        <x:v>URL recovered; current public status not independently verified</x:v>
      </x:c>
      <x:c r="M85" s="57" t="str">
        <x:v>Direct URL recovered from the corresponding Altium invoice.</x:v>
      </x:c>
      <x:c r="N85" s="59" t="e">
        <x:f>HYPERLINK(F85,"Open")</x:f>
      </x:c>
    </x:row>
    <x:row r="86" ht="30" hidden="0" customHeight="1">
      <x:c r="A86" s="59" t="n">
        <x:v>82</x:v>
      </x:c>
      <x:c r="B86" s="59" t="str">
        <x:v>2023</x:v>
      </x:c>
      <x:c r="C86" s="59" t="str">
        <x:v>August</x:v>
      </x:c>
      <x:c r="D86" s="57" t="str">
        <x:v>DS3231 Real Time Clock - Altium Designer</x:v>
      </x:c>
      <x:c r="E86" s="59" t="str">
        <x:v>-bAQN9V3pkg</x:v>
      </x:c>
      <x:c r="F86" s="59" t="str">
        <x:v>https://youtu.be/-bAQN9V3pkg</x:v>
      </x:c>
      <x:c r="G86" s="59" t="str">
        <x:v>Direct video</x:v>
      </x:c>
      <x:c r="H86" s="57" t="str">
        <x:v>2023 August Altium batch</x:v>
      </x:c>
      <x:c r="I86" s="59" t="str">
        <x:v>Altium Designer</x:v>
      </x:c>
      <x:c r="J86" s="59" t="str">
        <x:v>Invoice</x:v>
      </x:c>
      <x:c r="K86" s="57" t="str">
        <x:v>Altium EduEngTeam Invoice August 2023</x:v>
      </x:c>
      <x:c r="L86" s="57" t="str">
        <x:v>URL recovered; current public status not independently verified</x:v>
      </x:c>
      <x:c r="M86" s="57" t="str">
        <x:v>Direct URL recovered from the corresponding Altium invoice.</x:v>
      </x:c>
      <x:c r="N86" s="59" t="e">
        <x:f>HYPERLINK(F86,"Open")</x:f>
      </x:c>
    </x:row>
    <x:row r="87" ht="30" hidden="0" customHeight="1">
      <x:c r="A87" s="59" t="n">
        <x:v>83</x:v>
      </x:c>
      <x:c r="B87" s="59" t="str">
        <x:v>2023</x:v>
      </x:c>
      <x:c r="C87" s="59" t="str">
        <x:v>August</x:v>
      </x:c>
      <x:c r="D87" s="57" t="str">
        <x:v>TTP223 Touch Sensor using Altium Designer</x:v>
      </x:c>
      <x:c r="E87" s="59" t="str">
        <x:v>iv0yuba7_8c</x:v>
      </x:c>
      <x:c r="F87" s="59" t="str">
        <x:v>https://youtu.be/iv0yuba7_8c</x:v>
      </x:c>
      <x:c r="G87" s="59" t="str">
        <x:v>Direct video</x:v>
      </x:c>
      <x:c r="H87" s="57" t="str">
        <x:v>2023 August Altium batch</x:v>
      </x:c>
      <x:c r="I87" s="59" t="str">
        <x:v>Altium Designer</x:v>
      </x:c>
      <x:c r="J87" s="59" t="str">
        <x:v>Invoice</x:v>
      </x:c>
      <x:c r="K87" s="57" t="str">
        <x:v>Altium EduEngTeam Invoice August 2023</x:v>
      </x:c>
      <x:c r="L87" s="57" t="str">
        <x:v>URL recovered; current public status not independently verified</x:v>
      </x:c>
      <x:c r="M87" s="57" t="str">
        <x:v>Direct URL recovered from the corresponding Altium invoice.</x:v>
      </x:c>
      <x:c r="N87" s="59" t="e">
        <x:f>HYPERLINK(F87,"Open")</x:f>
      </x:c>
    </x:row>
    <x:row r="88" ht="30" hidden="0" customHeight="1">
      <x:c r="A88" s="59" t="n">
        <x:v>84</x:v>
      </x:c>
      <x:c r="B88" s="59" t="str">
        <x:v>2023</x:v>
      </x:c>
      <x:c r="C88" s="59" t="str">
        <x:v>September</x:v>
      </x:c>
      <x:c r="D88" s="57" t="str">
        <x:v>Let’s Get Started in Arduino R4</x:v>
      </x:c>
      <x:c r="E88" s="59" t="str">
        <x:v>jbPrpB02J44</x:v>
      </x:c>
      <x:c r="F88" s="59" t="str">
        <x:v>https://youtu.be/jbPrpB02J44</x:v>
      </x:c>
      <x:c r="G88" s="59" t="str">
        <x:v>Direct video</x:v>
      </x:c>
      <x:c r="H88" s="57" t="str">
        <x:v>2023 September Altium batch</x:v>
      </x:c>
      <x:c r="I88" s="59" t="str">
        <x:v>Altium Designer</x:v>
      </x:c>
      <x:c r="J88" s="59" t="str">
        <x:v>Invoice</x:v>
      </x:c>
      <x:c r="K88" s="57" t="str">
        <x:v>Altium EduEngTeam Invoice September 2023</x:v>
      </x:c>
      <x:c r="L88" s="57" t="str">
        <x:v>URL recovered; current public status not independently verified</x:v>
      </x:c>
      <x:c r="M88" s="57" t="str">
        <x:v>Direct URL recovered from the corresponding Altium invoice.</x:v>
      </x:c>
      <x:c r="N88" s="59" t="e">
        <x:f>HYPERLINK(F88,"Open")</x:f>
      </x:c>
    </x:row>
    <x:row r="89" ht="30" hidden="0" customHeight="1">
      <x:c r="A89" s="59" t="n">
        <x:v>85</x:v>
      </x:c>
      <x:c r="B89" s="59" t="str">
        <x:v>2023</x:v>
      </x:c>
      <x:c r="C89" s="59" t="str">
        <x:v>September</x:v>
      </x:c>
      <x:c r="D89" s="57" t="str">
        <x:v>Arduino UNO R4 Unveiled: Exploring Features and Functionality</x:v>
      </x:c>
      <x:c r="E89" s="59" t="str">
        <x:v>W58AucWt5wE</x:v>
      </x:c>
      <x:c r="F89" s="59" t="str">
        <x:v>https://youtu.be/W58AucWt5wE</x:v>
      </x:c>
      <x:c r="G89" s="59" t="str">
        <x:v>Direct video</x:v>
      </x:c>
      <x:c r="H89" s="57" t="str">
        <x:v>2023 September Altium batch</x:v>
      </x:c>
      <x:c r="I89" s="59" t="str">
        <x:v>Altium Designer</x:v>
      </x:c>
      <x:c r="J89" s="59" t="str">
        <x:v>Invoice</x:v>
      </x:c>
      <x:c r="K89" s="57" t="str">
        <x:v>Altium EduEngTeam Invoice September 2023</x:v>
      </x:c>
      <x:c r="L89" s="57" t="str">
        <x:v>URL recovered; current public status not independently verified</x:v>
      </x:c>
      <x:c r="M89" s="57" t="str">
        <x:v>Direct URL recovered from the corresponding Altium invoice.</x:v>
      </x:c>
      <x:c r="N89" s="59" t="e">
        <x:f>HYPERLINK(F89,"Open")</x:f>
      </x:c>
    </x:row>
    <x:row r="90" ht="30" hidden="0" customHeight="1">
      <x:c r="A90" s="59" t="n">
        <x:v>86</x:v>
      </x:c>
      <x:c r="B90" s="59" t="str">
        <x:v>2023</x:v>
      </x:c>
      <x:c r="C90" s="59" t="str">
        <x:v>September</x:v>
      </x:c>
      <x:c r="D90" s="57" t="str">
        <x:v>Arduino UNO R4 Schematic Deep Dive: Exploring Every Circuitry Detail</x:v>
      </x:c>
      <x:c r="E90" s="59" t="str">
        <x:v>QEgmUVPk-yw</x:v>
      </x:c>
      <x:c r="F90" s="59" t="str">
        <x:v>https://youtu.be/QEgmUVPk-yw</x:v>
      </x:c>
      <x:c r="G90" s="59" t="str">
        <x:v>Direct video</x:v>
      </x:c>
      <x:c r="H90" s="57" t="str">
        <x:v>2023 September Altium batch</x:v>
      </x:c>
      <x:c r="I90" s="59" t="str">
        <x:v>Altium Designer</x:v>
      </x:c>
      <x:c r="J90" s="59" t="str">
        <x:v>Invoice</x:v>
      </x:c>
      <x:c r="K90" s="57" t="str">
        <x:v>Altium EduEngTeam Invoice September 2023</x:v>
      </x:c>
      <x:c r="L90" s="57" t="str">
        <x:v>URL recovered; current public status not independently verified</x:v>
      </x:c>
      <x:c r="M90" s="57" t="str">
        <x:v>Direct URL recovered from the corresponding Altium invoice.</x:v>
      </x:c>
      <x:c r="N90" s="59" t="e">
        <x:f>HYPERLINK(F90,"Open")</x:f>
      </x:c>
    </x:row>
    <x:row r="91" ht="30" hidden="0" customHeight="1">
      <x:c r="A91" s="59" t="n">
        <x:v>87</x:v>
      </x:c>
      <x:c r="B91" s="59" t="str">
        <x:v>2023–2024</x:v>
      </x:c>
      <x:c r="C91" s="59" t="str">
        <x:v>Date unclear</x:v>
      </x:c>
      <x:c r="D91" s="57" t="str">
        <x:v>Arduino UNO R4 Schematic &amp; PCB Design Course</x:v>
      </x:c>
      <x:c r="E91" s="59" t="str">
        <x:v>o-V6yCPvxt4</x:v>
      </x:c>
      <x:c r="F91" s="59" t="str">
        <x:v>https://youtu.be/o-V6yCPvxt4</x:v>
      </x:c>
      <x:c r="G91" s="59" t="str">
        <x:v>Direct video</x:v>
      </x:c>
      <x:c r="H91" s="57" t="str">
        <x:v>Arduino UNO R4 creator sample set</x:v>
      </x:c>
      <x:c r="I91" s="59" t="str">
        <x:v>Altium Designer</x:v>
      </x:c>
      <x:c r="J91" s="59" t="str">
        <x:v>Creator sample</x:v>
      </x:c>
      <x:c r="K91" s="57" t="str">
        <x:v>Creator sample links referenced in 2024 Altium correspondence</x:v>
      </x:c>
      <x:c r="L91" s="57" t="str">
        <x:v>URL recovered; current public status not independently verified</x:v>
      </x:c>
      <x:c r="M91" s="57" t="str">
        <x:v>Direct URL recovered; exact publication month/year was not conclusively established.</x:v>
      </x:c>
      <x:c r="N91" s="59" t="e">
        <x:f>HYPERLINK(F91,"Open")</x:f>
      </x:c>
    </x:row>
    <x:row r="92" ht="30" hidden="0" customHeight="1">
      <x:c r="A92" s="59" t="n">
        <x:v>88</x:v>
      </x:c>
      <x:c r="B92" s="59" t="str">
        <x:v>2023–2024</x:v>
      </x:c>
      <x:c r="C92" s="59" t="str">
        <x:v>Date unclear</x:v>
      </x:c>
      <x:c r="D92" s="57" t="str">
        <x:v>Deep Dive Exploring Every Circuitry Detail Arduino UNO R4 Schematic &amp; PCB Design Course</x:v>
      </x:c>
      <x:c r="E92" s="59" t="str">
        <x:v>ardin_BCbiA</x:v>
      </x:c>
      <x:c r="F92" s="59" t="str">
        <x:v>https://youtu.be/ardin_BCbiA</x:v>
      </x:c>
      <x:c r="G92" s="59" t="str">
        <x:v>Direct video</x:v>
      </x:c>
      <x:c r="H92" s="57" t="str">
        <x:v>Arduino UNO R4 creator sample set</x:v>
      </x:c>
      <x:c r="I92" s="59" t="str">
        <x:v>Altium Designer</x:v>
      </x:c>
      <x:c r="J92" s="59" t="str">
        <x:v>Creator sample</x:v>
      </x:c>
      <x:c r="K92" s="57" t="str">
        <x:v>Creator sample links referenced in 2024 Altium correspondence</x:v>
      </x:c>
      <x:c r="L92" s="57" t="str">
        <x:v>URL recovered; current public status not independently verified</x:v>
      </x:c>
      <x:c r="M92" s="57" t="str">
        <x:v>Direct URL recovered; exact publication month/year was not conclusively established.</x:v>
      </x:c>
      <x:c r="N92" s="59" t="e">
        <x:f>HYPERLINK(F92,"Open")</x:f>
      </x:c>
    </x:row>
    <x:row r="93" ht="30" hidden="0" customHeight="1">
      <x:c r="A93" s="59" t="n">
        <x:v>89</x:v>
      </x:c>
      <x:c r="B93" s="59" t="str">
        <x:v>2023–2024</x:v>
      </x:c>
      <x:c r="C93" s="59" t="str">
        <x:v>Date unclear</x:v>
      </x:c>
      <x:c r="D93" s="57" t="str">
        <x:v>Arduino UNO R4 Schematic Design Step by Step in Altium Designer</x:v>
      </x:c>
      <x:c r="E93" s="59" t="str">
        <x:v>ZR0fi1geWAg</x:v>
      </x:c>
      <x:c r="F93" s="59" t="str">
        <x:v>https://youtu.be/ZR0fi1geWAg</x:v>
      </x:c>
      <x:c r="G93" s="59" t="str">
        <x:v>Direct video</x:v>
      </x:c>
      <x:c r="H93" s="57" t="str">
        <x:v>Arduino UNO R4 creator sample set</x:v>
      </x:c>
      <x:c r="I93" s="59" t="str">
        <x:v>Altium Designer</x:v>
      </x:c>
      <x:c r="J93" s="59" t="str">
        <x:v>Creator sample</x:v>
      </x:c>
      <x:c r="K93" s="57" t="str">
        <x:v>Creator sample links referenced in 2024 Altium correspondence</x:v>
      </x:c>
      <x:c r="L93" s="57" t="str">
        <x:v>URL recovered; current public status not independently verified</x:v>
      </x:c>
      <x:c r="M93" s="57" t="str">
        <x:v>Direct URL recovered; exact publication month/year was not conclusively established.</x:v>
      </x:c>
      <x:c r="N93" s="59" t="e">
        <x:f>HYPERLINK(F93,"Open")</x:f>
      </x:c>
    </x:row>
    <x:row r="94" ht="30" hidden="0" customHeight="1">
      <x:c r="A94" s="59" t="n">
        <x:v>90</x:v>
      </x:c>
      <x:c r="B94" s="59" t="str">
        <x:v>2023–2024</x:v>
      </x:c>
      <x:c r="C94" s="59" t="str">
        <x:v>Date unclear</x:v>
      </x:c>
      <x:c r="D94" s="57" t="str">
        <x:v>Arduino R4 Component Placement Step by Step in Altium Designer</x:v>
      </x:c>
      <x:c r="E94" s="59" t="str">
        <x:v>0kITrEVkUcM</x:v>
      </x:c>
      <x:c r="F94" s="59" t="str">
        <x:v>https://youtu.be/0kITrEVkUcM</x:v>
      </x:c>
      <x:c r="G94" s="59" t="str">
        <x:v>Direct video</x:v>
      </x:c>
      <x:c r="H94" s="57" t="str">
        <x:v>Arduino UNO R4 creator sample set</x:v>
      </x:c>
      <x:c r="I94" s="59" t="str">
        <x:v>Altium Designer</x:v>
      </x:c>
      <x:c r="J94" s="59" t="str">
        <x:v>Creator sample</x:v>
      </x:c>
      <x:c r="K94" s="57" t="str">
        <x:v>Creator sample links referenced in 2024 Altium correspondence</x:v>
      </x:c>
      <x:c r="L94" s="57" t="str">
        <x:v>URL recovered; current public status not independently verified</x:v>
      </x:c>
      <x:c r="M94" s="57" t="str">
        <x:v>Direct URL recovered; exact publication month/year was not conclusively established.</x:v>
      </x:c>
      <x:c r="N94" s="59" t="e">
        <x:f>HYPERLINK(F94,"Open")</x:f>
      </x:c>
    </x:row>
    <x:row r="95" ht="30" hidden="0" customHeight="1">
      <x:c r="A95" s="59" t="n">
        <x:v>91</x:v>
      </x:c>
      <x:c r="B95" s="59" t="str">
        <x:v>2023–2024</x:v>
      </x:c>
      <x:c r="C95" s="59" t="str">
        <x:v>Date unclear</x:v>
      </x:c>
      <x:c r="D95" s="57" t="str">
        <x:v>Arduino R4 PCB Layout Step-by-Step in Altium Designer</x:v>
      </x:c>
      <x:c r="E95" s="59" t="str">
        <x:v>Si2nl-dXsKw</x:v>
      </x:c>
      <x:c r="F95" s="59" t="str">
        <x:v>https://youtu.be/Si2nl-dXsKw</x:v>
      </x:c>
      <x:c r="G95" s="59" t="str">
        <x:v>Direct video</x:v>
      </x:c>
      <x:c r="H95" s="57" t="str">
        <x:v>Arduino UNO R4 creator sample set</x:v>
      </x:c>
      <x:c r="I95" s="59" t="str">
        <x:v>Altium Designer</x:v>
      </x:c>
      <x:c r="J95" s="59" t="str">
        <x:v>Creator sample</x:v>
      </x:c>
      <x:c r="K95" s="57" t="str">
        <x:v>Creator sample links referenced in 2024 Altium correspondence</x:v>
      </x:c>
      <x:c r="L95" s="57" t="str">
        <x:v>URL recovered; current public status not independently verified</x:v>
      </x:c>
      <x:c r="M95" s="57" t="str">
        <x:v>Direct URL recovered; exact publication month/year was not conclusively established.</x:v>
      </x:c>
      <x:c r="N95" s="59" t="e">
        <x:f>HYPERLINK(F95,"Open")</x:f>
      </x:c>
    </x:row>
    <x:row r="96" ht="30" hidden="0" customHeight="1">
      <x:c r="A96" s="59" t="n">
        <x:v>92</x:v>
      </x:c>
      <x:c r="B96" s="59" t="str">
        <x:v>2025</x:v>
      </x:c>
      <x:c r="C96" s="59" t="str">
        <x:v>November</x:v>
      </x:c>
      <x:c r="D96" s="57" t="str">
        <x:v>Introduction to Altium Develop</x:v>
      </x:c>
      <x:c r="E96" s="59" t="str">
        <x:v>DtT8gCZanM4</x:v>
      </x:c>
      <x:c r="F96" s="59" t="str">
        <x:v>https://youtu.be/DtT8gCZanM4</x:v>
      </x:c>
      <x:c r="G96" s="59" t="str">
        <x:v>Direct video</x:v>
      </x:c>
      <x:c r="H96" s="57" t="str">
        <x:v>Altium Develop Course — 12 Video Series</x:v>
      </x:c>
      <x:c r="I96" s="59" t="str">
        <x:v>Altium Develop</x:v>
      </x:c>
      <x:c r="J96" s="59" t="str">
        <x:v>Invoice</x:v>
      </x:c>
      <x:c r="K96" s="57" t="str">
        <x:v>Altium EduEngTeam Invoice Nov 2025.pdf</x:v>
      </x:c>
      <x:c r="L96" s="57" t="str">
        <x:v>URL recovered; current public status not independently verified</x:v>
      </x:c>
      <x:c r="M96" s="57" t="str">
        <x:v>Direct URL recovered from the November 2025 invoice.</x:v>
      </x:c>
      <x:c r="N96" s="59" t="e">
        <x:f>HYPERLINK(F96,"Open")</x:f>
      </x:c>
    </x:row>
    <x:row r="97" ht="30" hidden="0" customHeight="1">
      <x:c r="A97" s="59" t="n">
        <x:v>93</x:v>
      </x:c>
      <x:c r="B97" s="59" t="str">
        <x:v>2025</x:v>
      </x:c>
      <x:c r="C97" s="59" t="str">
        <x:v>November</x:v>
      </x:c>
      <x:c r="D97" s="57" t="str">
        <x:v>Stop Guessing: Use Threading to Control Your Design Workflow</x:v>
      </x:c>
      <x:c r="E97" s="59" t="str">
        <x:v>pCQqi-JrX1s</x:v>
      </x:c>
      <x:c r="F97" s="59" t="str">
        <x:v>https://youtu.be/pCQqi-JrX1s</x:v>
      </x:c>
      <x:c r="G97" s="59" t="str">
        <x:v>Direct video</x:v>
      </x:c>
      <x:c r="H97" s="57" t="str">
        <x:v>Altium Develop Course — 12 Video Series</x:v>
      </x:c>
      <x:c r="I97" s="59" t="str">
        <x:v>Altium Develop</x:v>
      </x:c>
      <x:c r="J97" s="59" t="str">
        <x:v>Invoice</x:v>
      </x:c>
      <x:c r="K97" s="57" t="str">
        <x:v>Altium EduEngTeam Invoice Nov 2025.pdf</x:v>
      </x:c>
      <x:c r="L97" s="57" t="str">
        <x:v>URL recovered; current public status not independently verified</x:v>
      </x:c>
      <x:c r="M97" s="57" t="str">
        <x:v>Direct URL recovered from the November 2025 invoice.</x:v>
      </x:c>
      <x:c r="N97" s="59" t="e">
        <x:f>HYPERLINK(F97,"Open")</x:f>
      </x:c>
    </x:row>
    <x:row r="98" ht="30" hidden="0" customHeight="1">
      <x:c r="A98" s="59" t="n">
        <x:v>94</x:v>
      </x:c>
      <x:c r="B98" s="59" t="str">
        <x:v>2025</x:v>
      </x:c>
      <x:c r="C98" s="59" t="str">
        <x:v>November</x:v>
      </x:c>
      <x:c r="D98" s="57" t="str">
        <x:v>Forget Version Control Headaches</x:v>
      </x:c>
      <x:c r="E98" s="59" t="str">
        <x:v>YM8uoe5nTDM</x:v>
      </x:c>
      <x:c r="F98" s="59" t="str">
        <x:v>https://youtu.be/YM8uoe5nTDM</x:v>
      </x:c>
      <x:c r="G98" s="59" t="str">
        <x:v>Direct video</x:v>
      </x:c>
      <x:c r="H98" s="57" t="str">
        <x:v>Altium Develop Course — 12 Video Series</x:v>
      </x:c>
      <x:c r="I98" s="59" t="str">
        <x:v>Altium Develop</x:v>
      </x:c>
      <x:c r="J98" s="59" t="str">
        <x:v>Invoice</x:v>
      </x:c>
      <x:c r="K98" s="57" t="str">
        <x:v>Altium EduEngTeam Invoice Nov 2025.pdf</x:v>
      </x:c>
      <x:c r="L98" s="57" t="str">
        <x:v>URL recovered; current public status not independently verified</x:v>
      </x:c>
      <x:c r="M98" s="57" t="str">
        <x:v>Direct URL recovered from the November 2025 invoice.</x:v>
      </x:c>
      <x:c r="N98" s="59" t="e">
        <x:f>HYPERLINK(F98,"Open")</x:f>
      </x:c>
    </x:row>
    <x:row r="99" ht="30" hidden="0" customHeight="1">
      <x:c r="A99" s="59" t="n">
        <x:v>95</x:v>
      </x:c>
      <x:c r="B99" s="59" t="str">
        <x:v>2025</x:v>
      </x:c>
      <x:c r="C99" s="59" t="str">
        <x:v>November</x:v>
      </x:c>
      <x:c r="D99" s="57" t="str">
        <x:v>Engineering Guidelines Using Altium Develop Documents</x:v>
      </x:c>
      <x:c r="E99" s="59" t="str">
        <x:v>3iFDgmiZ-qE</x:v>
      </x:c>
      <x:c r="F99" s="59" t="str">
        <x:v>https://youtu.be/3iFDgmiZ-qE</x:v>
      </x:c>
      <x:c r="G99" s="59" t="str">
        <x:v>Direct video</x:v>
      </x:c>
      <x:c r="H99" s="57" t="str">
        <x:v>Altium Develop Course — 12 Video Series</x:v>
      </x:c>
      <x:c r="I99" s="59" t="str">
        <x:v>Altium Develop</x:v>
      </x:c>
      <x:c r="J99" s="59" t="str">
        <x:v>Invoice</x:v>
      </x:c>
      <x:c r="K99" s="57" t="str">
        <x:v>Altium EduEngTeam Invoice Nov 2025.pdf</x:v>
      </x:c>
      <x:c r="L99" s="57" t="str">
        <x:v>URL recovered; current public status not independently verified</x:v>
      </x:c>
      <x:c r="M99" s="57" t="str">
        <x:v>Direct URL recovered from the November 2025 invoice.</x:v>
      </x:c>
      <x:c r="N99" s="59" t="e">
        <x:f>HYPERLINK(F99,"Open")</x:f>
      </x:c>
    </x:row>
    <x:row r="100" ht="30" hidden="0" customHeight="1">
      <x:c r="A100" s="59" t="n">
        <x:v>96</x:v>
      </x:c>
      <x:c r="B100" s="59" t="str">
        <x:v>2025</x:v>
      </x:c>
      <x:c r="C100" s="59" t="str">
        <x:v>November</x:v>
      </x:c>
      <x:c r="D100" s="57" t="str">
        <x:v>Managing PCB Project Workflows</x:v>
      </x:c>
      <x:c r="E100" s="59" t="str">
        <x:v>CnoEwyo-Zlw</x:v>
      </x:c>
      <x:c r="F100" s="59" t="str">
        <x:v>https://youtu.be/CnoEwyo-Zlw</x:v>
      </x:c>
      <x:c r="G100" s="59" t="str">
        <x:v>Direct video</x:v>
      </x:c>
      <x:c r="H100" s="57" t="str">
        <x:v>Altium Develop Course — 12 Video Series</x:v>
      </x:c>
      <x:c r="I100" s="59" t="str">
        <x:v>Altium Develop</x:v>
      </x:c>
      <x:c r="J100" s="59" t="str">
        <x:v>Invoice</x:v>
      </x:c>
      <x:c r="K100" s="57" t="str">
        <x:v>Altium EduEngTeam Invoice Nov 2025.pdf</x:v>
      </x:c>
      <x:c r="L100" s="57" t="str">
        <x:v>URL recovered; current public status not independently verified</x:v>
      </x:c>
      <x:c r="M100" s="57" t="str">
        <x:v>Direct URL recovered from the November 2025 invoice.</x:v>
      </x:c>
      <x:c r="N100" s="59" t="e">
        <x:f>HYPERLINK(F100,"Open")</x:f>
      </x:c>
    </x:row>
    <x:row r="101" ht="30" hidden="0" customHeight="1">
      <x:c r="A101" s="59" t="n">
        <x:v>97</x:v>
      </x:c>
      <x:c r="B101" s="59" t="str">
        <x:v>2025</x:v>
      </x:c>
      <x:c r="C101" s="59" t="str">
        <x:v>November</x:v>
      </x:c>
      <x:c r="D101" s="57" t="str">
        <x:v>Tracking Design Progress in Altium Develop</x:v>
      </x:c>
      <x:c r="E101" s="59" t="str">
        <x:v>nfPooIm7l64</x:v>
      </x:c>
      <x:c r="F101" s="59" t="str">
        <x:v>https://youtu.be/nfPooIm7l64</x:v>
      </x:c>
      <x:c r="G101" s="59" t="str">
        <x:v>Direct video</x:v>
      </x:c>
      <x:c r="H101" s="57" t="str">
        <x:v>Altium Develop Course — 12 Video Series</x:v>
      </x:c>
      <x:c r="I101" s="59" t="str">
        <x:v>Altium Develop</x:v>
      </x:c>
      <x:c r="J101" s="59" t="str">
        <x:v>Invoice</x:v>
      </x:c>
      <x:c r="K101" s="57" t="str">
        <x:v>Altium EduEngTeam Invoice Nov 2025.pdf</x:v>
      </x:c>
      <x:c r="L101" s="57" t="str">
        <x:v>URL recovered; current public status not independently verified</x:v>
      </x:c>
      <x:c r="M101" s="57" t="str">
        <x:v>Direct URL recovered from the November 2025 invoice.</x:v>
      </x:c>
      <x:c r="N101" s="59" t="e">
        <x:f>HYPERLINK(F101,"Open")</x:f>
      </x:c>
    </x:row>
    <x:row r="102" ht="30" hidden="0" customHeight="1">
      <x:c r="A102" s="59" t="n">
        <x:v>98</x:v>
      </x:c>
      <x:c r="B102" s="59" t="str">
        <x:v>2025</x:v>
      </x:c>
      <x:c r="C102" s="59" t="str">
        <x:v>November</x:v>
      </x:c>
      <x:c r="D102" s="57" t="str">
        <x:v>Collaboration on Hardware Project using Altium Develop</x:v>
      </x:c>
      <x:c r="E102" s="59" t="str">
        <x:v>JFeG_M6wmWA</x:v>
      </x:c>
      <x:c r="F102" s="59" t="str">
        <x:v>https://youtu.be/JFeG_M6wmWA</x:v>
      </x:c>
      <x:c r="G102" s="59" t="str">
        <x:v>Direct video</x:v>
      </x:c>
      <x:c r="H102" s="57" t="str">
        <x:v>Altium Develop Course — 12 Video Series</x:v>
      </x:c>
      <x:c r="I102" s="59" t="str">
        <x:v>Altium Develop</x:v>
      </x:c>
      <x:c r="J102" s="59" t="str">
        <x:v>Invoice</x:v>
      </x:c>
      <x:c r="K102" s="57" t="str">
        <x:v>Altium EduEngTeam Invoice Nov 2025.pdf</x:v>
      </x:c>
      <x:c r="L102" s="57" t="str">
        <x:v>URL recovered; current public status not independently verified</x:v>
      </x:c>
      <x:c r="M102" s="57" t="str">
        <x:v>Direct URL recovered from the November 2025 invoice.</x:v>
      </x:c>
      <x:c r="N102" s="59" t="e">
        <x:f>HYPERLINK(F102,"Open")</x:f>
      </x:c>
    </x:row>
    <x:row r="103" ht="30" hidden="0" customHeight="1">
      <x:c r="A103" s="59" t="n">
        <x:v>99</x:v>
      </x:c>
      <x:c r="B103" s="59" t="str">
        <x:v>2025</x:v>
      </x:c>
      <x:c r="C103" s="59" t="str">
        <x:v>November</x:v>
      </x:c>
      <x:c r="D103" s="57" t="str">
        <x:v>Showcasing Mechanical Collaboration</x:v>
      </x:c>
      <x:c r="E103" s="59" t="str">
        <x:v>_s8vzgWQ_IA</x:v>
      </x:c>
      <x:c r="F103" s="59" t="str">
        <x:v>https://youtu.be/_s8vzgWQ_IA</x:v>
      </x:c>
      <x:c r="G103" s="59" t="str">
        <x:v>Direct video</x:v>
      </x:c>
      <x:c r="H103" s="57" t="str">
        <x:v>Altium Develop Course — 12 Video Series</x:v>
      </x:c>
      <x:c r="I103" s="59" t="str">
        <x:v>Altium Develop</x:v>
      </x:c>
      <x:c r="J103" s="59" t="str">
        <x:v>Invoice</x:v>
      </x:c>
      <x:c r="K103" s="57" t="str">
        <x:v>Altium EduEngTeam Invoice Nov 2025.pdf</x:v>
      </x:c>
      <x:c r="L103" s="57" t="str">
        <x:v>URL recovered; current public status not independently verified</x:v>
      </x:c>
      <x:c r="M103" s="57" t="str">
        <x:v>Direct URL recovered from the November 2025 invoice.</x:v>
      </x:c>
      <x:c r="N103" s="59" t="e">
        <x:f>HYPERLINK(F103,"Open")</x:f>
      </x:c>
    </x:row>
    <x:row r="104" ht="30" hidden="0" customHeight="1">
      <x:c r="A104" s="59" t="n">
        <x:v>100</x:v>
      </x:c>
      <x:c r="B104" s="59" t="str">
        <x:v>2025</x:v>
      </x:c>
      <x:c r="C104" s="59" t="str">
        <x:v>November</x:v>
      </x:c>
      <x:c r="D104" s="57" t="str">
        <x:v>Connecting ECAD, MCAD and Manufacturing – The Future of Unified Design</x:v>
      </x:c>
      <x:c r="E104" s="59" t="str">
        <x:v>YlYz2IbLMX4</x:v>
      </x:c>
      <x:c r="F104" s="59" t="str">
        <x:v>https://youtu.be/YlYz2IbLMX4</x:v>
      </x:c>
      <x:c r="G104" s="59" t="str">
        <x:v>Direct video</x:v>
      </x:c>
      <x:c r="H104" s="57" t="str">
        <x:v>Altium Develop Course — 12 Video Series</x:v>
      </x:c>
      <x:c r="I104" s="59" t="str">
        <x:v>Altium Develop</x:v>
      </x:c>
      <x:c r="J104" s="59" t="str">
        <x:v>Invoice</x:v>
      </x:c>
      <x:c r="K104" s="57" t="str">
        <x:v>Altium EduEngTeam Invoice Nov 2025.pdf</x:v>
      </x:c>
      <x:c r="L104" s="57" t="str">
        <x:v>URL recovered; current public status not independently verified</x:v>
      </x:c>
      <x:c r="M104" s="57" t="str">
        <x:v>Direct URL recovered from the November 2025 invoice.</x:v>
      </x:c>
      <x:c r="N104" s="59" t="e">
        <x:f>HYPERLINK(F104,"Open")</x:f>
      </x:c>
    </x:row>
    <x:row r="105" ht="30" hidden="0" customHeight="1">
      <x:c r="A105" s="59" t="n">
        <x:v>101</x:v>
      </x:c>
      <x:c r="B105" s="59" t="str">
        <x:v>2025</x:v>
      </x:c>
      <x:c r="C105" s="59" t="str">
        <x:v>November</x:v>
      </x:c>
      <x:c r="D105" s="57" t="str">
        <x:v>Inviting Unlimited External Stakeholders Safely</x:v>
      </x:c>
      <x:c r="E105" s="59" t="str">
        <x:v>BO50EfxPMMc</x:v>
      </x:c>
      <x:c r="F105" s="59" t="str">
        <x:v>https://youtu.be/BO50EfxPMMc</x:v>
      </x:c>
      <x:c r="G105" s="59" t="str">
        <x:v>Direct video</x:v>
      </x:c>
      <x:c r="H105" s="57" t="str">
        <x:v>Altium Develop Course — 12 Video Series</x:v>
      </x:c>
      <x:c r="I105" s="59" t="str">
        <x:v>Altium Develop</x:v>
      </x:c>
      <x:c r="J105" s="59" t="str">
        <x:v>Invoice</x:v>
      </x:c>
      <x:c r="K105" s="57" t="str">
        <x:v>Altium EduEngTeam Invoice Nov 2025.pdf</x:v>
      </x:c>
      <x:c r="L105" s="57" t="str">
        <x:v>URL recovered; current public status not independently verified</x:v>
      </x:c>
      <x:c r="M105" s="57" t="str">
        <x:v>Direct URL recovered from the November 2025 invoice.</x:v>
      </x:c>
      <x:c r="N105" s="59" t="e">
        <x:f>HYPERLINK(F105,"Open")</x:f>
      </x:c>
    </x:row>
    <x:row r="106" ht="30" hidden="0" customHeight="1">
      <x:c r="A106" s="59" t="n">
        <x:v>102</x:v>
      </x:c>
      <x:c r="B106" s="59" t="str">
        <x:v>2025</x:v>
      </x:c>
      <x:c r="C106" s="59" t="str">
        <x:v>November</x:v>
      </x:c>
      <x:c r="D106" s="57" t="str">
        <x:v>Getting Supplier Feedback in few minutes</x:v>
      </x:c>
      <x:c r="E106" s="59" t="str">
        <x:v>K_rOP5C1yEs</x:v>
      </x:c>
      <x:c r="F106" s="59" t="str">
        <x:v>https://youtu.be/K_rOP5C1yEs</x:v>
      </x:c>
      <x:c r="G106" s="59" t="str">
        <x:v>Direct video</x:v>
      </x:c>
      <x:c r="H106" s="57" t="str">
        <x:v>Altium Develop Course — 12 Video Series</x:v>
      </x:c>
      <x:c r="I106" s="59" t="str">
        <x:v>Altium Develop</x:v>
      </x:c>
      <x:c r="J106" s="59" t="str">
        <x:v>Invoice</x:v>
      </x:c>
      <x:c r="K106" s="57" t="str">
        <x:v>Altium EduEngTeam Invoice Nov 2025.pdf</x:v>
      </x:c>
      <x:c r="L106" s="57" t="str">
        <x:v>URL recovered; current public status not independently verified</x:v>
      </x:c>
      <x:c r="M106" s="57" t="str">
        <x:v>Direct URL recovered from the November 2025 invoice.</x:v>
      </x:c>
      <x:c r="N106" s="59" t="e">
        <x:f>HYPERLINK(F106,"Open")</x:f>
      </x:c>
    </x:row>
    <x:row r="107" ht="30" hidden="0" customHeight="1">
      <x:c r="A107" s="59" t="n">
        <x:v>103</x:v>
      </x:c>
      <x:c r="B107" s="59" t="str">
        <x:v>2025</x:v>
      </x:c>
      <x:c r="C107" s="59" t="str">
        <x:v>November</x:v>
      </x:c>
      <x:c r="D107" s="57" t="str">
        <x:v>Best Practices for Managing Hardware Team Productivity</x:v>
      </x:c>
      <x:c r="E107" s="59" t="str">
        <x:v>65iSOk6u8Oo</x:v>
      </x:c>
      <x:c r="F107" s="59" t="str">
        <x:v>https://youtu.be/65iSOk6u8Oo</x:v>
      </x:c>
      <x:c r="G107" s="59" t="str">
        <x:v>Direct video</x:v>
      </x:c>
      <x:c r="H107" s="57" t="str">
        <x:v>Altium Develop Course — 12 Video Series</x:v>
      </x:c>
      <x:c r="I107" s="59" t="str">
        <x:v>Altium Develop</x:v>
      </x:c>
      <x:c r="J107" s="59" t="str">
        <x:v>Invoice</x:v>
      </x:c>
      <x:c r="K107" s="57" t="str">
        <x:v>Altium EduEngTeam Invoice Nov 2025.pdf</x:v>
      </x:c>
      <x:c r="L107" s="57" t="str">
        <x:v>URL recovered; current public status not independently verified</x:v>
      </x:c>
      <x:c r="M107" s="57" t="str">
        <x:v>Direct URL recovered from the November 2025 invoice.</x:v>
      </x:c>
      <x:c r="N107" s="59" t="e">
        <x:f>HYPERLINK(F107,"Open")</x:f>
      </x:c>
    </x:row>
    <x:row r="108" ht="30" hidden="0" customHeight="1">
      <x:c r="A108" s="59" t="n">
        <x:v>104</x:v>
      </x:c>
      <x:c r="B108" s="59" t="str">
        <x:v>2025</x:v>
      </x:c>
      <x:c r="C108" s="59" t="str">
        <x:v>December</x:v>
      </x:c>
      <x:c r="D108" s="57" t="str">
        <x:v>Shared Context to Eliminate Hidden Engineering Debt</x:v>
      </x:c>
      <x:c r="E108" s="59" t="str">
        <x:v>jdH6LuHaJQA</x:v>
      </x:c>
      <x:c r="F108" s="59" t="str">
        <x:v>https://youtu.be/jdH6LuHaJQA</x:v>
      </x:c>
      <x:c r="G108" s="59" t="str">
        <x:v>Direct video</x:v>
      </x:c>
      <x:c r="H108" s="57" t="str">
        <x:v>Altium Develop December series</x:v>
      </x:c>
      <x:c r="I108" s="59" t="str">
        <x:v>Altium Develop</x:v>
      </x:c>
      <x:c r="J108" s="59" t="str">
        <x:v>Invoice</x:v>
      </x:c>
      <x:c r="K108" s="57" t="str">
        <x:v>Gmail invoice archive — December 2025</x:v>
      </x:c>
      <x:c r="L108" s="57" t="str">
        <x:v>URL recovered; current public status not independently verified</x:v>
      </x:c>
      <x:c r="M108" s="57" t="str">
        <x:v>Direct URL recovered from the December 2025 Altium invoice archive.</x:v>
      </x:c>
      <x:c r="N108" s="59" t="e">
        <x:f>HYPERLINK(F108,"Open")</x:f>
      </x:c>
    </x:row>
    <x:row r="109" ht="30" hidden="0" customHeight="1">
      <x:c r="A109" s="59" t="n">
        <x:v>105</x:v>
      </x:c>
      <x:c r="B109" s="59" t="str">
        <x:v>2025</x:v>
      </x:c>
      <x:c r="C109" s="59" t="str">
        <x:v>December</x:v>
      </x:c>
      <x:c r="D109" s="57" t="str">
        <x:v>Boost Engineering Precision with AI-Assisted Requirements</x:v>
      </x:c>
      <x:c r="E109" s="59" t="str">
        <x:v>IFfmJh1QBxY</x:v>
      </x:c>
      <x:c r="F109" s="59" t="str">
        <x:v>https://youtu.be/IFfmJh1QBxY</x:v>
      </x:c>
      <x:c r="G109" s="59" t="str">
        <x:v>Direct video</x:v>
      </x:c>
      <x:c r="H109" s="57" t="str">
        <x:v>Altium Develop December series</x:v>
      </x:c>
      <x:c r="I109" s="59" t="str">
        <x:v>Altium Develop</x:v>
      </x:c>
      <x:c r="J109" s="59" t="str">
        <x:v>Invoice</x:v>
      </x:c>
      <x:c r="K109" s="57" t="str">
        <x:v>Gmail invoice archive — December 2025</x:v>
      </x:c>
      <x:c r="L109" s="57" t="str">
        <x:v>URL recovered; current public status not independently verified</x:v>
      </x:c>
      <x:c r="M109" s="57" t="str">
        <x:v>Direct URL recovered from the December 2025 Altium invoice archive.</x:v>
      </x:c>
      <x:c r="N109" s="59" t="e">
        <x:f>HYPERLINK(F109,"Open")</x:f>
      </x:c>
    </x:row>
    <x:row r="110" ht="30" hidden="0" customHeight="1">
      <x:c r="A110" s="59" t="n">
        <x:v>106</x:v>
      </x:c>
      <x:c r="B110" s="59" t="str">
        <x:v>2025</x:v>
      </x:c>
      <x:c r="C110" s="59" t="str">
        <x:v>December</x:v>
      </x:c>
      <x:c r="D110" s="57" t="str">
        <x:v>Synchronization with firmware team</x:v>
      </x:c>
      <x:c r="E110" s="59" t="str">
        <x:v>vpN9w8elDg8</x:v>
      </x:c>
      <x:c r="F110" s="59" t="str">
        <x:v>https://youtu.be/vpN9w8elDg8</x:v>
      </x:c>
      <x:c r="G110" s="59" t="str">
        <x:v>Direct video</x:v>
      </x:c>
      <x:c r="H110" s="57" t="str">
        <x:v>Altium Develop December series</x:v>
      </x:c>
      <x:c r="I110" s="59" t="str">
        <x:v>Altium Develop</x:v>
      </x:c>
      <x:c r="J110" s="59" t="str">
        <x:v>Invoice</x:v>
      </x:c>
      <x:c r="K110" s="57" t="str">
        <x:v>Gmail invoice archive — December 2025</x:v>
      </x:c>
      <x:c r="L110" s="57" t="str">
        <x:v>URL recovered; current public status not independently verified</x:v>
      </x:c>
      <x:c r="M110" s="57" t="str">
        <x:v>Direct URL recovered from the December 2025 Altium invoice archive.</x:v>
      </x:c>
      <x:c r="N110" s="59" t="e">
        <x:f>HYPERLINK(F110,"Open")</x:f>
      </x:c>
    </x:row>
    <x:row r="111" ht="30" hidden="0" customHeight="1">
      <x:c r="A111" s="59" t="n">
        <x:v>107</x:v>
      </x:c>
      <x:c r="B111" s="59" t="str">
        <x:v>2025</x:v>
      </x:c>
      <x:c r="C111" s="59" t="str">
        <x:v>December</x:v>
      </x:c>
      <x:c r="D111" s="57" t="str">
        <x:v>Real time BOM risk forecasting</x:v>
      </x:c>
      <x:c r="E111" s="59" t="str">
        <x:v>dgWlodLd7nQ</x:v>
      </x:c>
      <x:c r="F111" s="59" t="str">
        <x:v>https://youtu.be/dgWlodLd7nQ</x:v>
      </x:c>
      <x:c r="G111" s="59" t="str">
        <x:v>Direct video</x:v>
      </x:c>
      <x:c r="H111" s="57" t="str">
        <x:v>Altium Develop December series</x:v>
      </x:c>
      <x:c r="I111" s="59" t="str">
        <x:v>Altium Develop</x:v>
      </x:c>
      <x:c r="J111" s="59" t="str">
        <x:v>Invoice</x:v>
      </x:c>
      <x:c r="K111" s="57" t="str">
        <x:v>Gmail invoice archive — December 2025</x:v>
      </x:c>
      <x:c r="L111" s="57" t="str">
        <x:v>URL recovered; current public status not independently verified</x:v>
      </x:c>
      <x:c r="M111" s="57" t="str">
        <x:v>Direct URL recovered from the December 2025 Altium invoice archive.</x:v>
      </x:c>
      <x:c r="N111" s="59" t="e">
        <x:f>HYPERLINK(F111,"Open")</x:f>
      </x:c>
    </x:row>
    <x:row r="112" ht="30" hidden="0" customHeight="1">
      <x:c r="A112" s="59" t="n">
        <x:v>108</x:v>
      </x:c>
      <x:c r="B112" s="59" t="str">
        <x:v>2025</x:v>
      </x:c>
      <x:c r="C112" s="59" t="str">
        <x:v>December</x:v>
      </x:c>
      <x:c r="D112" s="57" t="str">
        <x:v>How Altium Develop enables Engineering Verification</x:v>
      </x:c>
      <x:c r="E112" s="59" t="str">
        <x:v>zJj8fUTas_E</x:v>
      </x:c>
      <x:c r="F112" s="59" t="str">
        <x:v>https://youtu.be/zJj8fUTas_E</x:v>
      </x:c>
      <x:c r="G112" s="59" t="str">
        <x:v>Direct video</x:v>
      </x:c>
      <x:c r="H112" s="57" t="str">
        <x:v>Altium Develop December series</x:v>
      </x:c>
      <x:c r="I112" s="59" t="str">
        <x:v>Altium Develop</x:v>
      </x:c>
      <x:c r="J112" s="59" t="str">
        <x:v>Invoice</x:v>
      </x:c>
      <x:c r="K112" s="57" t="str">
        <x:v>Gmail invoice archive — December 2025</x:v>
      </x:c>
      <x:c r="L112" s="57" t="str">
        <x:v>URL recovered; current public status not independently verified</x:v>
      </x:c>
      <x:c r="M112" s="57" t="str">
        <x:v>Direct URL recovered from the December 2025 Altium invoice archive.</x:v>
      </x:c>
      <x:c r="N112" s="59" t="e">
        <x:f>HYPERLINK(F112,"Open")</x:f>
      </x:c>
    </x:row>
    <x:row r="113" ht="30" hidden="0" customHeight="1">
      <x:c r="A113" s="59" t="n">
        <x:v>109</x:v>
      </x:c>
      <x:c r="B113" s="59" t="str">
        <x:v>2025</x:v>
      </x:c>
      <x:c r="C113" s="59" t="str">
        <x:v>December</x:v>
      </x:c>
      <x:c r="D113" s="57" t="str">
        <x:v>Common Issues with Modular Architectural Design</x:v>
      </x:c>
      <x:c r="E113" s="59" t="str">
        <x:v>IFRiC4swlaY</x:v>
      </x:c>
      <x:c r="F113" s="59" t="str">
        <x:v>https://youtu.be/IFRiC4swlaY</x:v>
      </x:c>
      <x:c r="G113" s="59" t="str">
        <x:v>Direct video</x:v>
      </x:c>
      <x:c r="H113" s="57" t="str">
        <x:v>Altium Develop December series</x:v>
      </x:c>
      <x:c r="I113" s="59" t="str">
        <x:v>Altium Develop</x:v>
      </x:c>
      <x:c r="J113" s="59" t="str">
        <x:v>Invoice</x:v>
      </x:c>
      <x:c r="K113" s="57" t="str">
        <x:v>Gmail invoice archive — December 2025</x:v>
      </x:c>
      <x:c r="L113" s="57" t="str">
        <x:v>URL recovered; current public status not independently verified</x:v>
      </x:c>
      <x:c r="M113" s="57" t="str">
        <x:v>Direct URL recovered from the December 2025 Altium invoice archive.</x:v>
      </x:c>
      <x:c r="N113" s="59" t="e">
        <x:f>HYPERLINK(F113,"Open")</x:f>
      </x:c>
    </x:row>
    <x:row r="114" ht="30" hidden="0" customHeight="1">
      <x:c r="A114" s="59" t="n">
        <x:v>110</x:v>
      </x:c>
      <x:c r="B114" s="59" t="str">
        <x:v>2025</x:v>
      </x:c>
      <x:c r="C114" s="59" t="str">
        <x:v>December</x:v>
      </x:c>
      <x:c r="D114" s="57" t="str">
        <x:v>Live observability in Altium Develop</x:v>
      </x:c>
      <x:c r="E114" s="59" t="str">
        <x:v>gnLu-VR3WiU</x:v>
      </x:c>
      <x:c r="F114" s="59" t="str">
        <x:v>https://youtu.be/gnLu-VR3WiU</x:v>
      </x:c>
      <x:c r="G114" s="59" t="str">
        <x:v>Direct video</x:v>
      </x:c>
      <x:c r="H114" s="57" t="str">
        <x:v>Altium Develop December series</x:v>
      </x:c>
      <x:c r="I114" s="59" t="str">
        <x:v>Altium Develop</x:v>
      </x:c>
      <x:c r="J114" s="59" t="str">
        <x:v>Invoice</x:v>
      </x:c>
      <x:c r="K114" s="57" t="str">
        <x:v>Gmail invoice archive — December 2025</x:v>
      </x:c>
      <x:c r="L114" s="57" t="str">
        <x:v>URL recovered; current public status not independently verified</x:v>
      </x:c>
      <x:c r="M114" s="57" t="str">
        <x:v>Direct URL recovered from the December 2025 Altium invoice archive.</x:v>
      </x:c>
      <x:c r="N114" s="59" t="e">
        <x:f>HYPERLINK(F114,"Open")</x:f>
      </x:c>
    </x:row>
    <x:row r="115" ht="30" hidden="0" customHeight="1">
      <x:c r="A115" s="59" t="n">
        <x:v>111</x:v>
      </x:c>
      <x:c r="B115" s="59" t="str">
        <x:v>2025</x:v>
      </x:c>
      <x:c r="C115" s="59" t="str">
        <x:v>December</x:v>
      </x:c>
      <x:c r="D115" s="57" t="str">
        <x:v>The Smart Path to Sustainable &amp; Compliant Engineering</x:v>
      </x:c>
      <x:c r="E115" s="59" t="str">
        <x:v>A9cILFH2wyA</x:v>
      </x:c>
      <x:c r="F115" s="59" t="str">
        <x:v>https://youtu.be/A9cILFH2wyA</x:v>
      </x:c>
      <x:c r="G115" s="59" t="str">
        <x:v>Direct video</x:v>
      </x:c>
      <x:c r="H115" s="57" t="str">
        <x:v>Altium Develop December series</x:v>
      </x:c>
      <x:c r="I115" s="59" t="str">
        <x:v>Altium Develop</x:v>
      </x:c>
      <x:c r="J115" s="59" t="str">
        <x:v>Invoice</x:v>
      </x:c>
      <x:c r="K115" s="57" t="str">
        <x:v>Gmail invoice archive — December 2025</x:v>
      </x:c>
      <x:c r="L115" s="57" t="str">
        <x:v>URL recovered; current public status not independently verified</x:v>
      </x:c>
      <x:c r="M115" s="57" t="str">
        <x:v>Direct URL recovered from the December 2025 Altium invoice archive.</x:v>
      </x:c>
      <x:c r="N115" s="59" t="e">
        <x:f>HYPERLINK(F115,"Open")</x:f>
      </x:c>
    </x:row>
    <x:row r="116" ht="30" hidden="0" customHeight="1">
      <x:c r="A116" s="59" t="n">
        <x:v>112</x:v>
      </x:c>
      <x:c r="B116" s="59" t="str">
        <x:v>2025</x:v>
      </x:c>
      <x:c r="C116" s="59" t="str">
        <x:v>December</x:v>
      </x:c>
      <x:c r="D116" s="57" t="str">
        <x:v>Create Clear Data boundaries using RBAC</x:v>
      </x:c>
      <x:c r="E116" s="59" t="str">
        <x:v>R6Wh4qTMVUs</x:v>
      </x:c>
      <x:c r="F116" s="59" t="str">
        <x:v>https://youtu.be/R6Wh4qTMVUs</x:v>
      </x:c>
      <x:c r="G116" s="59" t="str">
        <x:v>Direct video</x:v>
      </x:c>
      <x:c r="H116" s="57" t="str">
        <x:v>Altium Develop December series</x:v>
      </x:c>
      <x:c r="I116" s="59" t="str">
        <x:v>Altium Develop</x:v>
      </x:c>
      <x:c r="J116" s="59" t="str">
        <x:v>Invoice</x:v>
      </x:c>
      <x:c r="K116" s="57" t="str">
        <x:v>Gmail invoice archive — December 2025</x:v>
      </x:c>
      <x:c r="L116" s="57" t="str">
        <x:v>URL recovered; current public status not independently verified</x:v>
      </x:c>
      <x:c r="M116" s="57" t="str">
        <x:v>Direct URL recovered from the December 2025 Altium invoice archive.</x:v>
      </x:c>
      <x:c r="N116" s="59" t="e">
        <x:f>HYPERLINK(F116,"Open")</x:f>
      </x:c>
    </x:row>
    <x:row r="117" ht="30" hidden="0" customHeight="1">
      <x:c r="A117" s="59" t="n">
        <x:v>113</x:v>
      </x:c>
      <x:c r="B117" s="59" t="str">
        <x:v>2025</x:v>
      </x:c>
      <x:c r="C117" s="59" t="str">
        <x:v>December</x:v>
      </x:c>
      <x:c r="D117" s="57" t="str">
        <x:v>How Managers Use Cross Discipline Signals</x:v>
      </x:c>
      <x:c r="E117" s="59" t="str">
        <x:v>WODdrxy0qMk</x:v>
      </x:c>
      <x:c r="F117" s="59" t="str">
        <x:v>https://youtu.be/WODdrxy0qMk</x:v>
      </x:c>
      <x:c r="G117" s="59" t="str">
        <x:v>Direct video</x:v>
      </x:c>
      <x:c r="H117" s="57" t="str">
        <x:v>Altium Develop December series</x:v>
      </x:c>
      <x:c r="I117" s="59" t="str">
        <x:v>Altium Develop</x:v>
      </x:c>
      <x:c r="J117" s="59" t="str">
        <x:v>Invoice</x:v>
      </x:c>
      <x:c r="K117" s="57" t="str">
        <x:v>Gmail invoice archive — December 2025</x:v>
      </x:c>
      <x:c r="L117" s="57" t="str">
        <x:v>URL recovered; current public status not independently verified</x:v>
      </x:c>
      <x:c r="M117" s="57" t="str">
        <x:v>Direct URL recovered from the December 2025 Altium invoice archive.</x:v>
      </x:c>
      <x:c r="N117" s="59" t="e">
        <x:f>HYPERLINK(F117,"Open")</x:f>
      </x:c>
    </x:row>
    <x:row r="118" ht="30" hidden="0" customHeight="1">
      <x:c r="A118" s="59" t="n">
        <x:v>114</x:v>
      </x:c>
      <x:c r="B118" s="59" t="str">
        <x:v>2025</x:v>
      </x:c>
      <x:c r="C118" s="59" t="str">
        <x:v>December</x:v>
      </x:c>
      <x:c r="D118" s="57" t="str">
        <x:v>Constraint Intelligence: The Silent Partner</x:v>
      </x:c>
      <x:c r="E118" s="59" t="str">
        <x:v>jvOglNrsaj8</x:v>
      </x:c>
      <x:c r="F118" s="59" t="str">
        <x:v>https://youtu.be/jvOglNrsaj8</x:v>
      </x:c>
      <x:c r="G118" s="59" t="str">
        <x:v>Direct video</x:v>
      </x:c>
      <x:c r="H118" s="57" t="str">
        <x:v>Altium Develop December series</x:v>
      </x:c>
      <x:c r="I118" s="59" t="str">
        <x:v>Altium Develop</x:v>
      </x:c>
      <x:c r="J118" s="59" t="str">
        <x:v>Invoice</x:v>
      </x:c>
      <x:c r="K118" s="57" t="str">
        <x:v>Gmail invoice archive — December 2025</x:v>
      </x:c>
      <x:c r="L118" s="57" t="str">
        <x:v>URL recovered; current public status not independently verified</x:v>
      </x:c>
      <x:c r="M118" s="57" t="str">
        <x:v>Direct URL recovered from the December 2025 Altium invoice archive.</x:v>
      </x:c>
      <x:c r="N118" s="59" t="e">
        <x:f>HYPERLINK(F118,"Open")</x:f>
      </x:c>
    </x:row>
    <x:row r="119" ht="30" hidden="0" customHeight="1">
      <x:c r="A119" s="59" t="n">
        <x:v>115</x:v>
      </x:c>
      <x:c r="B119" s="59" t="str">
        <x:v>2025</x:v>
      </x:c>
      <x:c r="C119" s="59" t="str">
        <x:v>December</x:v>
      </x:c>
      <x:c r="D119" s="57" t="str">
        <x:v>Future of Collaborative Hardware Engineering</x:v>
      </x:c>
      <x:c r="E119" s="59" t="str">
        <x:v>es2k5qVK7rQ</x:v>
      </x:c>
      <x:c r="F119" s="59" t="str">
        <x:v>https://youtu.be/es2k5qVK7rQ</x:v>
      </x:c>
      <x:c r="G119" s="59" t="str">
        <x:v>Direct video</x:v>
      </x:c>
      <x:c r="H119" s="57" t="str">
        <x:v>Altium Develop December series</x:v>
      </x:c>
      <x:c r="I119" s="59" t="str">
        <x:v>Altium Develop</x:v>
      </x:c>
      <x:c r="J119" s="59" t="str">
        <x:v>Invoice</x:v>
      </x:c>
      <x:c r="K119" s="57" t="str">
        <x:v>Gmail invoice archive — December 2025</x:v>
      </x:c>
      <x:c r="L119" s="57" t="str">
        <x:v>URL recovered; current public status not independently verified</x:v>
      </x:c>
      <x:c r="M119" s="57" t="str">
        <x:v>Direct URL recovered from the December 2025 Altium invoice archive.</x:v>
      </x:c>
      <x:c r="N119" s="59" t="e">
        <x:f>HYPERLINK(F119,"Open")</x:f>
      </x:c>
    </x:row>
    <x:row r="120" ht="30" hidden="0" customHeight="1">
      <x:c r="A120" s="59" t="n">
        <x:v>116</x:v>
      </x:c>
      <x:c r="B120" s="59" t="str">
        <x:v>2026</x:v>
      </x:c>
      <x:c r="C120" s="59" t="str">
        <x:v>January</x:v>
      </x:c>
      <x:c r="D120" s="57" t="str">
        <x:v>Altium Develop for system level architects</x:v>
      </x:c>
      <x:c r="E120" s="59" t="str">
        <x:v>J3G-LU9X9EA</x:v>
      </x:c>
      <x:c r="F120" s="59" t="str">
        <x:v>https://youtu.be/J3G-LU9X9EA</x:v>
      </x:c>
      <x:c r="G120" s="59" t="str">
        <x:v>Direct video</x:v>
      </x:c>
      <x:c r="H120" s="57" t="str">
        <x:v>2026 January Altium series</x:v>
      </x:c>
      <x:c r="I120" s="59" t="str">
        <x:v>Altium Develop</x:v>
      </x:c>
      <x:c r="J120" s="59" t="str">
        <x:v>Invoice</x:v>
      </x:c>
      <x:c r="K120" s="57" t="str">
        <x:v>Gmail invoice archive — January 2026</x:v>
      </x:c>
      <x:c r="L120" s="57" t="str">
        <x:v>URL recovered; current public status not independently verified</x:v>
      </x:c>
      <x:c r="M120" s="57" t="str">
        <x:v>Direct URL recovered from the corresponding Altium invoice archive.</x:v>
      </x:c>
      <x:c r="N120" s="59" t="e">
        <x:f>HYPERLINK(F120,"Open")</x:f>
      </x:c>
    </x:row>
    <x:row r="121" ht="30" hidden="0" customHeight="1">
      <x:c r="A121" s="59" t="n">
        <x:v>117</x:v>
      </x:c>
      <x:c r="B121" s="59" t="str">
        <x:v>2026</x:v>
      </x:c>
      <x:c r="C121" s="59" t="str">
        <x:v>January</x:v>
      </x:c>
      <x:c r="D121" s="57" t="str">
        <x:v>Linking customer feedback to Altium Develop</x:v>
      </x:c>
      <x:c r="E121" s="59" t="str">
        <x:v>BB0Qf0LCWh4</x:v>
      </x:c>
      <x:c r="F121" s="59" t="str">
        <x:v>https://youtu.be/BB0Qf0LCWh4</x:v>
      </x:c>
      <x:c r="G121" s="59" t="str">
        <x:v>Direct video</x:v>
      </x:c>
      <x:c r="H121" s="57" t="str">
        <x:v>2026 January Altium series</x:v>
      </x:c>
      <x:c r="I121" s="59" t="str">
        <x:v>Altium Develop</x:v>
      </x:c>
      <x:c r="J121" s="59" t="str">
        <x:v>Invoice</x:v>
      </x:c>
      <x:c r="K121" s="57" t="str">
        <x:v>Gmail invoice archive — January 2026</x:v>
      </x:c>
      <x:c r="L121" s="57" t="str">
        <x:v>URL recovered; current public status not independently verified</x:v>
      </x:c>
      <x:c r="M121" s="57" t="str">
        <x:v>Direct URL recovered from the corresponding Altium invoice archive.</x:v>
      </x:c>
      <x:c r="N121" s="59" t="e">
        <x:f>HYPERLINK(F121,"Open")</x:f>
      </x:c>
    </x:row>
    <x:row r="122" ht="30" hidden="0" customHeight="1">
      <x:c r="A122" s="59" t="n">
        <x:v>118</x:v>
      </x:c>
      <x:c r="B122" s="59" t="str">
        <x:v>2026</x:v>
      </x:c>
      <x:c r="C122" s="59" t="str">
        <x:v>January</x:v>
      </x:c>
      <x:c r="D122" s="57" t="str">
        <x:v>Building bridge b/w Jira and Altium Develop</x:v>
      </x:c>
      <x:c r="E122" s="59" t="str">
        <x:v>20cdd29fgO8</x:v>
      </x:c>
      <x:c r="F122" s="59" t="str">
        <x:v>https://youtu.be/20cdd29fgO8</x:v>
      </x:c>
      <x:c r="G122" s="59" t="str">
        <x:v>Direct video</x:v>
      </x:c>
      <x:c r="H122" s="57" t="str">
        <x:v>2026 January Altium series</x:v>
      </x:c>
      <x:c r="I122" s="59" t="str">
        <x:v>Altium Develop</x:v>
      </x:c>
      <x:c r="J122" s="59" t="str">
        <x:v>Invoice</x:v>
      </x:c>
      <x:c r="K122" s="57" t="str">
        <x:v>Gmail invoice archive — January 2026</x:v>
      </x:c>
      <x:c r="L122" s="57" t="str">
        <x:v>URL recovered; current public status not independently verified</x:v>
      </x:c>
      <x:c r="M122" s="57" t="str">
        <x:v>Direct URL recovered from the corresponding Altium invoice archive.</x:v>
      </x:c>
      <x:c r="N122" s="59" t="e">
        <x:f>HYPERLINK(F122,"Open")</x:f>
      </x:c>
    </x:row>
    <x:row r="123" ht="30" hidden="0" customHeight="1">
      <x:c r="A123" s="59" t="n">
        <x:v>119</x:v>
      </x:c>
      <x:c r="B123" s="59" t="str">
        <x:v>2026</x:v>
      </x:c>
      <x:c r="C123" s="59" t="str">
        <x:v>January</x:v>
      </x:c>
      <x:c r="D123" s="57" t="str">
        <x:v>Three Engineering Roles use the same workspace</x:v>
      </x:c>
      <x:c r="E123" s="59" t="str">
        <x:v>Y8YZcGbn0Ao</x:v>
      </x:c>
      <x:c r="F123" s="59" t="str">
        <x:v>https://youtu.be/Y8YZcGbn0Ao</x:v>
      </x:c>
      <x:c r="G123" s="59" t="str">
        <x:v>Direct video</x:v>
      </x:c>
      <x:c r="H123" s="57" t="str">
        <x:v>2026 January Altium series</x:v>
      </x:c>
      <x:c r="I123" s="59" t="str">
        <x:v>Altium Develop</x:v>
      </x:c>
      <x:c r="J123" s="59" t="str">
        <x:v>Invoice</x:v>
      </x:c>
      <x:c r="K123" s="57" t="str">
        <x:v>Gmail invoice archive — January 2026</x:v>
      </x:c>
      <x:c r="L123" s="57" t="str">
        <x:v>URL recovered; current public status not independently verified</x:v>
      </x:c>
      <x:c r="M123" s="57" t="str">
        <x:v>Direct URL recovered from the corresponding Altium invoice archive.</x:v>
      </x:c>
      <x:c r="N123" s="59" t="e">
        <x:f>HYPERLINK(F123,"Open")</x:f>
      </x:c>
    </x:row>
    <x:row r="124" ht="30" hidden="0" customHeight="1">
      <x:c r="A124" s="59" t="n">
        <x:v>120</x:v>
      </x:c>
      <x:c r="B124" s="59" t="str">
        <x:v>2026</x:v>
      </x:c>
      <x:c r="C124" s="59" t="str">
        <x:v>January</x:v>
      </x:c>
      <x:c r="D124" s="57" t="str">
        <x:v>Smarter Hardware Decisions with Supply Chain Insight</x:v>
      </x:c>
      <x:c r="E124" s="59" t="str">
        <x:v>53d_9yeZhqA</x:v>
      </x:c>
      <x:c r="F124" s="59" t="str">
        <x:v>https://youtu.be/53d_9yeZhqA</x:v>
      </x:c>
      <x:c r="G124" s="59" t="str">
        <x:v>Direct video</x:v>
      </x:c>
      <x:c r="H124" s="57" t="str">
        <x:v>2026 January Altium series</x:v>
      </x:c>
      <x:c r="I124" s="59" t="str">
        <x:v>Altium Develop</x:v>
      </x:c>
      <x:c r="J124" s="59" t="str">
        <x:v>Invoice</x:v>
      </x:c>
      <x:c r="K124" s="57" t="str">
        <x:v>Gmail invoice archive — January 2026</x:v>
      </x:c>
      <x:c r="L124" s="57" t="str">
        <x:v>URL recovered; current public status not independently verified</x:v>
      </x:c>
      <x:c r="M124" s="57" t="str">
        <x:v>Direct URL recovered from the corresponding Altium invoice archive.</x:v>
      </x:c>
      <x:c r="N124" s="59" t="e">
        <x:f>HYPERLINK(F124,"Open")</x:f>
      </x:c>
    </x:row>
    <x:row r="125" ht="30" hidden="0" customHeight="1">
      <x:c r="A125" s="59" t="n">
        <x:v>121</x:v>
      </x:c>
      <x:c r="B125" s="59" t="str">
        <x:v>2026</x:v>
      </x:c>
      <x:c r="C125" s="59" t="str">
        <x:v>January</x:v>
      </x:c>
      <x:c r="D125" s="57" t="str">
        <x:v>Sprint week entirely in Altium Develop</x:v>
      </x:c>
      <x:c r="E125" s="59" t="str">
        <x:v>O5Pe1WgZFVc</x:v>
      </x:c>
      <x:c r="F125" s="59" t="str">
        <x:v>https://youtu.be/O5Pe1WgZFVc</x:v>
      </x:c>
      <x:c r="G125" s="59" t="str">
        <x:v>Direct video</x:v>
      </x:c>
      <x:c r="H125" s="57" t="str">
        <x:v>2026 January Altium series</x:v>
      </x:c>
      <x:c r="I125" s="59" t="str">
        <x:v>Altium Develop</x:v>
      </x:c>
      <x:c r="J125" s="59" t="str">
        <x:v>Invoice</x:v>
      </x:c>
      <x:c r="K125" s="57" t="str">
        <x:v>Gmail invoice archive — January 2026</x:v>
      </x:c>
      <x:c r="L125" s="57" t="str">
        <x:v>URL recovered; current public status not independently verified</x:v>
      </x:c>
      <x:c r="M125" s="57" t="str">
        <x:v>Direct URL recovered from the corresponding Altium invoice archive.</x:v>
      </x:c>
      <x:c r="N125" s="59" t="e">
        <x:f>HYPERLINK(F125,"Open")</x:f>
      </x:c>
    </x:row>
    <x:row r="126" ht="30" hidden="0" customHeight="1">
      <x:c r="A126" s="59" t="n">
        <x:v>122</x:v>
      </x:c>
      <x:c r="B126" s="59" t="str">
        <x:v>2026</x:v>
      </x:c>
      <x:c r="C126" s="59" t="str">
        <x:v>January</x:v>
      </x:c>
      <x:c r="D126" s="57" t="str">
        <x:v>Altium Develop for post silicon iteration</x:v>
      </x:c>
      <x:c r="E126" s="59" t="str">
        <x:v>nhCmPxAgXnU</x:v>
      </x:c>
      <x:c r="F126" s="59" t="str">
        <x:v>https://youtu.be/nhCmPxAgXnU</x:v>
      </x:c>
      <x:c r="G126" s="59" t="str">
        <x:v>Direct video</x:v>
      </x:c>
      <x:c r="H126" s="57" t="str">
        <x:v>2026 January Altium series</x:v>
      </x:c>
      <x:c r="I126" s="59" t="str">
        <x:v>Altium Develop</x:v>
      </x:c>
      <x:c r="J126" s="59" t="str">
        <x:v>Invoice</x:v>
      </x:c>
      <x:c r="K126" s="57" t="str">
        <x:v>Gmail invoice archive — January 2026</x:v>
      </x:c>
      <x:c r="L126" s="57" t="str">
        <x:v>URL recovered; current public status not independently verified</x:v>
      </x:c>
      <x:c r="M126" s="57" t="str">
        <x:v>Direct URL recovered from the corresponding Altium invoice archive.</x:v>
      </x:c>
      <x:c r="N126" s="59" t="e">
        <x:f>HYPERLINK(F126,"Open")</x:f>
      </x:c>
    </x:row>
    <x:row r="127" ht="30" hidden="0" customHeight="1">
      <x:c r="A127" s="59" t="n">
        <x:v>123</x:v>
      </x:c>
      <x:c r="B127" s="59" t="str">
        <x:v>2026</x:v>
      </x:c>
      <x:c r="C127" s="59" t="str">
        <x:v>January</x:v>
      </x:c>
      <x:c r="D127" s="57" t="str">
        <x:v>Partners Ecosystem playbook</x:v>
      </x:c>
      <x:c r="E127" s="59" t="str">
        <x:v>I1zJ7-96C1Q</x:v>
      </x:c>
      <x:c r="F127" s="59" t="str">
        <x:v>https://youtu.be/I1zJ7-96C1Q</x:v>
      </x:c>
      <x:c r="G127" s="59" t="str">
        <x:v>Direct video</x:v>
      </x:c>
      <x:c r="H127" s="57" t="str">
        <x:v>2026 January Altium series</x:v>
      </x:c>
      <x:c r="I127" s="59" t="str">
        <x:v>Altium Develop</x:v>
      </x:c>
      <x:c r="J127" s="59" t="str">
        <x:v>Invoice</x:v>
      </x:c>
      <x:c r="K127" s="57" t="str">
        <x:v>Gmail invoice archive — January 2026</x:v>
      </x:c>
      <x:c r="L127" s="57" t="str">
        <x:v>URL recovered; current public status not independently verified</x:v>
      </x:c>
      <x:c r="M127" s="57" t="str">
        <x:v>Direct URL recovered from the corresponding Altium invoice archive.</x:v>
      </x:c>
      <x:c r="N127" s="59" t="e">
        <x:f>HYPERLINK(F127,"Open")</x:f>
      </x:c>
    </x:row>
    <x:row r="128" ht="30" hidden="0" customHeight="1">
      <x:c r="A128" s="59" t="n">
        <x:v>124</x:v>
      </x:c>
      <x:c r="B128" s="59" t="str">
        <x:v>2026</x:v>
      </x:c>
      <x:c r="C128" s="59" t="str">
        <x:v>January</x:v>
      </x:c>
      <x:c r="D128" s="57" t="str">
        <x:v>Life Cycle thinking in Hardware</x:v>
      </x:c>
      <x:c r="E128" s="59" t="str">
        <x:v>y3bPH3zhqrg</x:v>
      </x:c>
      <x:c r="F128" s="59" t="str">
        <x:v>https://youtu.be/y3bPH3zhqrg</x:v>
      </x:c>
      <x:c r="G128" s="59" t="str">
        <x:v>Direct video</x:v>
      </x:c>
      <x:c r="H128" s="57" t="str">
        <x:v>2026 January Altium series</x:v>
      </x:c>
      <x:c r="I128" s="59" t="str">
        <x:v>Altium Develop</x:v>
      </x:c>
      <x:c r="J128" s="59" t="str">
        <x:v>Invoice</x:v>
      </x:c>
      <x:c r="K128" s="57" t="str">
        <x:v>Gmail invoice archive — January 2026</x:v>
      </x:c>
      <x:c r="L128" s="57" t="str">
        <x:v>URL recovered; current public status not independently verified</x:v>
      </x:c>
      <x:c r="M128" s="57" t="str">
        <x:v>Direct URL recovered from the corresponding Altium invoice archive.</x:v>
      </x:c>
      <x:c r="N128" s="59" t="e">
        <x:f>HYPERLINK(F128,"Open")</x:f>
      </x:c>
    </x:row>
    <x:row r="129" ht="30" hidden="0" customHeight="1">
      <x:c r="A129" s="59" t="n">
        <x:v>125</x:v>
      </x:c>
      <x:c r="B129" s="59" t="str">
        <x:v>2026</x:v>
      </x:c>
      <x:c r="C129" s="59" t="str">
        <x:v>January</x:v>
      </x:c>
      <x:c r="D129" s="57" t="str">
        <x:v>Coaching new hires with Altium Develop</x:v>
      </x:c>
      <x:c r="E129" s="59" t="str">
        <x:v>zOYEvtchKjA</x:v>
      </x:c>
      <x:c r="F129" s="59" t="str">
        <x:v>https://youtu.be/zOYEvtchKjA</x:v>
      </x:c>
      <x:c r="G129" s="59" t="str">
        <x:v>Direct video</x:v>
      </x:c>
      <x:c r="H129" s="57" t="str">
        <x:v>2026 January Altium series</x:v>
      </x:c>
      <x:c r="I129" s="59" t="str">
        <x:v>Altium Develop</x:v>
      </x:c>
      <x:c r="J129" s="59" t="str">
        <x:v>Invoice</x:v>
      </x:c>
      <x:c r="K129" s="57" t="str">
        <x:v>Gmail invoice archive — January 2026</x:v>
      </x:c>
      <x:c r="L129" s="57" t="str">
        <x:v>URL recovered; current public status not independently verified</x:v>
      </x:c>
      <x:c r="M129" s="57" t="str">
        <x:v>Direct URL recovered from the corresponding Altium invoice archive.</x:v>
      </x:c>
      <x:c r="N129" s="59" t="e">
        <x:f>HYPERLINK(F129,"Open")</x:f>
      </x:c>
    </x:row>
    <x:row r="130" ht="30" hidden="0" customHeight="1">
      <x:c r="A130" s="59" t="n">
        <x:v>126</x:v>
      </x:c>
      <x:c r="B130" s="59" t="str">
        <x:v>2026</x:v>
      </x:c>
      <x:c r="C130" s="59" t="str">
        <x:v>January</x:v>
      </x:c>
      <x:c r="D130" s="57" t="str">
        <x:v>How reviewer can effectively review</x:v>
      </x:c>
      <x:c r="E130" s="59" t="str">
        <x:v>RMXAX6n6jKo</x:v>
      </x:c>
      <x:c r="F130" s="59" t="str">
        <x:v>https://youtu.be/RMXAX6n6jKo</x:v>
      </x:c>
      <x:c r="G130" s="59" t="str">
        <x:v>Direct video</x:v>
      </x:c>
      <x:c r="H130" s="57" t="str">
        <x:v>2026 January Altium series</x:v>
      </x:c>
      <x:c r="I130" s="59" t="str">
        <x:v>Altium Develop</x:v>
      </x:c>
      <x:c r="J130" s="59" t="str">
        <x:v>Invoice</x:v>
      </x:c>
      <x:c r="K130" s="57" t="str">
        <x:v>Gmail invoice archive — January 2026</x:v>
      </x:c>
      <x:c r="L130" s="57" t="str">
        <x:v>URL recovered; current public status not independently verified</x:v>
      </x:c>
      <x:c r="M130" s="57" t="str">
        <x:v>Direct URL recovered from the corresponding Altium invoice archive.</x:v>
      </x:c>
      <x:c r="N130" s="59" t="e">
        <x:f>HYPERLINK(F130,"Open")</x:f>
      </x:c>
    </x:row>
    <x:row r="131" ht="30" hidden="0" customHeight="1">
      <x:c r="A131" s="59" t="n">
        <x:v>127</x:v>
      </x:c>
      <x:c r="B131" s="59" t="str">
        <x:v>2026</x:v>
      </x:c>
      <x:c r="C131" s="59" t="str">
        <x:v>January</x:v>
      </x:c>
      <x:c r="D131" s="57" t="str">
        <x:v>How to effectively use History in Develop</x:v>
      </x:c>
      <x:c r="E131" s="59" t="str">
        <x:v>5TIyURTBs-U</x:v>
      </x:c>
      <x:c r="F131" s="59" t="str">
        <x:v>https://youtu.be/5TIyURTBs-U</x:v>
      </x:c>
      <x:c r="G131" s="59" t="str">
        <x:v>Direct video</x:v>
      </x:c>
      <x:c r="H131" s="57" t="str">
        <x:v>2026 January Altium series</x:v>
      </x:c>
      <x:c r="I131" s="59" t="str">
        <x:v>Altium Develop</x:v>
      </x:c>
      <x:c r="J131" s="59" t="str">
        <x:v>Invoice</x:v>
      </x:c>
      <x:c r="K131" s="57" t="str">
        <x:v>Gmail invoice archive — January 2026</x:v>
      </x:c>
      <x:c r="L131" s="57" t="str">
        <x:v>URL recovered; current public status not independently verified</x:v>
      </x:c>
      <x:c r="M131" s="57" t="str">
        <x:v>Direct URL recovered from the corresponding Altium invoice archive.</x:v>
      </x:c>
      <x:c r="N131" s="59" t="e">
        <x:f>HYPERLINK(F131,"Open")</x:f>
      </x:c>
    </x:row>
    <x:row r="132" ht="30" hidden="0" customHeight="1">
      <x:c r="A132" s="59" t="n">
        <x:v>128</x:v>
      </x:c>
      <x:c r="B132" s="59" t="str">
        <x:v>2026</x:v>
      </x:c>
      <x:c r="C132" s="59" t="str">
        <x:v>February</x:v>
      </x:c>
      <x:c r="D132" s="57" t="str">
        <x:v>Project setup in Altium Develop</x:v>
      </x:c>
      <x:c r="E132" s="59" t="str">
        <x:v>y5xCtsT5he4</x:v>
      </x:c>
      <x:c r="F132" s="59" t="str">
        <x:v>https://youtu.be/y5xCtsT5he4</x:v>
      </x:c>
      <x:c r="G132" s="59" t="str">
        <x:v>Direct video</x:v>
      </x:c>
      <x:c r="H132" s="57" t="str">
        <x:v>2026 February Altium series</x:v>
      </x:c>
      <x:c r="I132" s="59" t="str">
        <x:v>Altium Develop</x:v>
      </x:c>
      <x:c r="J132" s="59" t="str">
        <x:v>Invoice</x:v>
      </x:c>
      <x:c r="K132" s="57" t="str">
        <x:v>Gmail invoice archive — February 2026</x:v>
      </x:c>
      <x:c r="L132" s="57" t="str">
        <x:v>URL recovered; current public status not independently verified</x:v>
      </x:c>
      <x:c r="M132" s="57" t="str">
        <x:v>Direct URL recovered from the corresponding Altium invoice archive.</x:v>
      </x:c>
      <x:c r="N132" s="59" t="e">
        <x:f>HYPERLINK(F132,"Open")</x:f>
      </x:c>
    </x:row>
    <x:row r="133" ht="30" hidden="0" customHeight="1">
      <x:c r="A133" s="59" t="n">
        <x:v>129</x:v>
      </x:c>
      <x:c r="B133" s="59" t="str">
        <x:v>2026</x:v>
      </x:c>
      <x:c r="C133" s="59" t="str">
        <x:v>February</x:v>
      </x:c>
      <x:c r="D133" s="57" t="str">
        <x:v>Selecting the Right Buck IC &amp; Topology - Altium Designer Tutorial</x:v>
      </x:c>
      <x:c r="E133" s="59" t="str">
        <x:v>2Hc_xpuXvGU</x:v>
      </x:c>
      <x:c r="F133" s="59" t="str">
        <x:v>https://youtu.be/2Hc_xpuXvGU</x:v>
      </x:c>
      <x:c r="G133" s="59" t="str">
        <x:v>Direct video</x:v>
      </x:c>
      <x:c r="H133" s="57" t="str">
        <x:v>2026 February Altium series</x:v>
      </x:c>
      <x:c r="I133" s="59" t="str">
        <x:v>Altium Designer</x:v>
      </x:c>
      <x:c r="J133" s="59" t="str">
        <x:v>Invoice</x:v>
      </x:c>
      <x:c r="K133" s="57" t="str">
        <x:v>Gmail invoice archive — February 2026</x:v>
      </x:c>
      <x:c r="L133" s="57" t="str">
        <x:v>URL recovered; current public status not independently verified</x:v>
      </x:c>
      <x:c r="M133" s="57" t="str">
        <x:v>Direct URL recovered from the corresponding Altium invoice archive.</x:v>
      </x:c>
      <x:c r="N133" s="59" t="e">
        <x:f>HYPERLINK(F133,"Open")</x:f>
      </x:c>
    </x:row>
    <x:row r="134" ht="30" hidden="0" customHeight="1">
      <x:c r="A134" s="59" t="n">
        <x:v>130</x:v>
      </x:c>
      <x:c r="B134" s="59" t="str">
        <x:v>2026</x:v>
      </x:c>
      <x:c r="C134" s="59" t="str">
        <x:v>February</x:v>
      </x:c>
      <x:c r="D134" s="57" t="str">
        <x:v>Capturing Design Intent Through Commenting - Altium Designer Tutorial</x:v>
      </x:c>
      <x:c r="E134" s="59" t="str">
        <x:v>iF-4iZYQrU0</x:v>
      </x:c>
      <x:c r="F134" s="59" t="str">
        <x:v>https://youtu.be/iF-4iZYQrU0</x:v>
      </x:c>
      <x:c r="G134" s="59" t="str">
        <x:v>Direct video</x:v>
      </x:c>
      <x:c r="H134" s="57" t="str">
        <x:v>2026 February Altium series</x:v>
      </x:c>
      <x:c r="I134" s="59" t="str">
        <x:v>Altium Designer</x:v>
      </x:c>
      <x:c r="J134" s="59" t="str">
        <x:v>Invoice</x:v>
      </x:c>
      <x:c r="K134" s="57" t="str">
        <x:v>Gmail invoice archive — February 2026</x:v>
      </x:c>
      <x:c r="L134" s="57" t="str">
        <x:v>URL recovered; current public status not independently verified</x:v>
      </x:c>
      <x:c r="M134" s="57" t="str">
        <x:v>Direct URL recovered from the corresponding Altium invoice archive.</x:v>
      </x:c>
      <x:c r="N134" s="59" t="e">
        <x:f>HYPERLINK(F134,"Open")</x:f>
      </x:c>
    </x:row>
    <x:row r="135" ht="30" hidden="0" customHeight="1">
      <x:c r="A135" s="59" t="n">
        <x:v>131</x:v>
      </x:c>
      <x:c r="B135" s="59" t="str">
        <x:v>2026</x:v>
      </x:c>
      <x:c r="C135" s="59" t="str">
        <x:v>February</x:v>
      </x:c>
      <x:c r="D135" s="57" t="str">
        <x:v>Switching Regulator Design - Altium Designer Tutorial</x:v>
      </x:c>
      <x:c r="E135" s="59" t="str">
        <x:v>my7_tfx9sJc</x:v>
      </x:c>
      <x:c r="F135" s="59" t="str">
        <x:v>https://youtu.be/my7_tfx9sJc</x:v>
      </x:c>
      <x:c r="G135" s="59" t="str">
        <x:v>Direct video</x:v>
      </x:c>
      <x:c r="H135" s="57" t="str">
        <x:v>2026 February Altium series</x:v>
      </x:c>
      <x:c r="I135" s="59" t="str">
        <x:v>Altium Designer</x:v>
      </x:c>
      <x:c r="J135" s="59" t="str">
        <x:v>Invoice</x:v>
      </x:c>
      <x:c r="K135" s="57" t="str">
        <x:v>Gmail invoice archive — February 2026</x:v>
      </x:c>
      <x:c r="L135" s="57" t="str">
        <x:v>URL recovered; current public status not independently verified</x:v>
      </x:c>
      <x:c r="M135" s="57" t="str">
        <x:v>Direct URL recovered from the corresponding Altium invoice archive.</x:v>
      </x:c>
      <x:c r="N135" s="59" t="e">
        <x:f>HYPERLINK(F135,"Open")</x:f>
      </x:c>
    </x:row>
    <x:row r="136" ht="30" hidden="0" customHeight="1">
      <x:c r="A136" s="59" t="n">
        <x:v>132</x:v>
      </x:c>
      <x:c r="B136" s="59" t="str">
        <x:v>2026</x:v>
      </x:c>
      <x:c r="C136" s="59" t="str">
        <x:v>February</x:v>
      </x:c>
      <x:c r="D136" s="57" t="str">
        <x:v>Design Stack-Up and Design Rules - Altium Designer Tutorial</x:v>
      </x:c>
      <x:c r="E136" s="59" t="str">
        <x:v>8o528JEp12Q</x:v>
      </x:c>
      <x:c r="F136" s="59" t="str">
        <x:v>https://youtu.be/8o528JEp12Q</x:v>
      </x:c>
      <x:c r="G136" s="59" t="str">
        <x:v>Direct video</x:v>
      </x:c>
      <x:c r="H136" s="57" t="str">
        <x:v>2026 February Altium series</x:v>
      </x:c>
      <x:c r="I136" s="59" t="str">
        <x:v>Altium Designer</x:v>
      </x:c>
      <x:c r="J136" s="59" t="str">
        <x:v>Invoice</x:v>
      </x:c>
      <x:c r="K136" s="57" t="str">
        <x:v>Gmail invoice archive — February 2026</x:v>
      </x:c>
      <x:c r="L136" s="57" t="str">
        <x:v>URL recovered; current public status not independently verified</x:v>
      </x:c>
      <x:c r="M136" s="57" t="str">
        <x:v>Direct URL recovered from the corresponding Altium invoice archive.</x:v>
      </x:c>
      <x:c r="N136" s="59" t="e">
        <x:f>HYPERLINK(F136,"Open")</x:f>
      </x:c>
    </x:row>
    <x:row r="137" ht="30" hidden="0" customHeight="1">
      <x:c r="A137" s="59" t="n">
        <x:v>133</x:v>
      </x:c>
      <x:c r="B137" s="59" t="str">
        <x:v>2026</x:v>
      </x:c>
      <x:c r="C137" s="59" t="str">
        <x:v>February</x:v>
      </x:c>
      <x:c r="D137" s="57" t="str">
        <x:v>Buck Converter PCB Layout - Altium Designer Tutorial</x:v>
      </x:c>
      <x:c r="E137" s="59" t="str">
        <x:v>gm0wOh5HaLg</x:v>
      </x:c>
      <x:c r="F137" s="59" t="str">
        <x:v>https://youtu.be/gm0wOh5HaLg</x:v>
      </x:c>
      <x:c r="G137" s="59" t="str">
        <x:v>Direct video</x:v>
      </x:c>
      <x:c r="H137" s="57" t="str">
        <x:v>2026 February Altium series</x:v>
      </x:c>
      <x:c r="I137" s="59" t="str">
        <x:v>Altium Designer</x:v>
      </x:c>
      <x:c r="J137" s="59" t="str">
        <x:v>Invoice</x:v>
      </x:c>
      <x:c r="K137" s="57" t="str">
        <x:v>Gmail invoice archive — February 2026</x:v>
      </x:c>
      <x:c r="L137" s="57" t="str">
        <x:v>URL recovered; current public status not independently verified</x:v>
      </x:c>
      <x:c r="M137" s="57" t="str">
        <x:v>Direct URL recovered from the corresponding Altium invoice archive.</x:v>
      </x:c>
      <x:c r="N137" s="59" t="e">
        <x:f>HYPERLINK(F137,"Open")</x:f>
      </x:c>
    </x:row>
    <x:row r="138" ht="30" hidden="0" customHeight="1">
      <x:c r="A138" s="59" t="n">
        <x:v>134</x:v>
      </x:c>
      <x:c r="B138" s="59" t="str">
        <x:v>2026</x:v>
      </x:c>
      <x:c r="C138" s="59" t="str">
        <x:v>February</x:v>
      </x:c>
      <x:c r="D138" s="57" t="str">
        <x:v>A Day in the Life of a Hardware Team Using Altium Develop</x:v>
      </x:c>
      <x:c r="E138" s="59" t="str">
        <x:v>79R5D6-AZfA</x:v>
      </x:c>
      <x:c r="F138" s="59" t="str">
        <x:v>https://youtu.be/79R5D6-AZfA</x:v>
      </x:c>
      <x:c r="G138" s="59" t="str">
        <x:v>Direct video</x:v>
      </x:c>
      <x:c r="H138" s="57" t="str">
        <x:v>2026 February Altium series</x:v>
      </x:c>
      <x:c r="I138" s="59" t="str">
        <x:v>Altium Develop</x:v>
      </x:c>
      <x:c r="J138" s="59" t="str">
        <x:v>Invoice</x:v>
      </x:c>
      <x:c r="K138" s="57" t="str">
        <x:v>Gmail invoice archive — February 2026</x:v>
      </x:c>
      <x:c r="L138" s="57" t="str">
        <x:v>URL recovered; current public status not independently verified</x:v>
      </x:c>
      <x:c r="M138" s="57" t="str">
        <x:v>Direct URL recovered from the corresponding Altium invoice archive.</x:v>
      </x:c>
      <x:c r="N138" s="59" t="e">
        <x:f>HYPERLINK(F138,"Open")</x:f>
      </x:c>
    </x:row>
    <x:row r="139" ht="30" hidden="0" customHeight="1">
      <x:c r="A139" s="59" t="n">
        <x:v>135</x:v>
      </x:c>
      <x:c r="B139" s="59" t="str">
        <x:v>2026</x:v>
      </x:c>
      <x:c r="C139" s="59" t="str">
        <x:v>February</x:v>
      </x:c>
      <x:c r="D139" s="57" t="str">
        <x:v>Altium Develop From Files to Peer-Powered Network</x:v>
      </x:c>
      <x:c r="E139" s="59" t="str">
        <x:v>Ai28NEt26o4</x:v>
      </x:c>
      <x:c r="F139" s="59" t="str">
        <x:v>https://youtu.be/Ai28NEt26o4</x:v>
      </x:c>
      <x:c r="G139" s="59" t="str">
        <x:v>Direct video</x:v>
      </x:c>
      <x:c r="H139" s="57" t="str">
        <x:v>2026 February Altium series</x:v>
      </x:c>
      <x:c r="I139" s="59" t="str">
        <x:v>Altium Develop</x:v>
      </x:c>
      <x:c r="J139" s="59" t="str">
        <x:v>Invoice</x:v>
      </x:c>
      <x:c r="K139" s="57" t="str">
        <x:v>Gmail invoice archive — February 2026</x:v>
      </x:c>
      <x:c r="L139" s="57" t="str">
        <x:v>URL recovered; current public status not independently verified</x:v>
      </x:c>
      <x:c r="M139" s="57" t="str">
        <x:v>Direct URL recovered from the corresponding Altium invoice archive.</x:v>
      </x:c>
      <x:c r="N139" s="59" t="e">
        <x:f>HYPERLINK(F139,"Open")</x:f>
      </x:c>
    </x:row>
    <x:row r="140" ht="30" hidden="0" customHeight="1">
      <x:c r="A140" s="59" t="n">
        <x:v>136</x:v>
      </x:c>
      <x:c r="B140" s="59" t="str">
        <x:v>2026</x:v>
      </x:c>
      <x:c r="C140" s="59" t="str">
        <x:v>February</x:v>
      </x:c>
      <x:c r="D140" s="57" t="str">
        <x:v>Working with External Partners in Altium Develop</x:v>
      </x:c>
      <x:c r="E140" s="59" t="str">
        <x:v>Aib1e5VcVGE</x:v>
      </x:c>
      <x:c r="F140" s="59" t="str">
        <x:v>https://youtu.be/Aib1e5VcVGE</x:v>
      </x:c>
      <x:c r="G140" s="59" t="str">
        <x:v>Direct video</x:v>
      </x:c>
      <x:c r="H140" s="57" t="str">
        <x:v>2026 February Altium series</x:v>
      </x:c>
      <x:c r="I140" s="59" t="str">
        <x:v>Altium Develop</x:v>
      </x:c>
      <x:c r="J140" s="59" t="str">
        <x:v>Invoice</x:v>
      </x:c>
      <x:c r="K140" s="57" t="str">
        <x:v>Gmail invoice archive — February 2026</x:v>
      </x:c>
      <x:c r="L140" s="57" t="str">
        <x:v>URL recovered; current public status not independently verified</x:v>
      </x:c>
      <x:c r="M140" s="57" t="str">
        <x:v>Direct URL recovered from the corresponding Altium invoice archive.</x:v>
      </x:c>
      <x:c r="N140" s="59" t="e">
        <x:f>HYPERLINK(F140,"Open")</x:f>
      </x:c>
    </x:row>
    <x:row r="141" ht="30" hidden="0" customHeight="1">
      <x:c r="A141" s="59" t="n">
        <x:v>137</x:v>
      </x:c>
      <x:c r="B141" s="59" t="str">
        <x:v>2026</x:v>
      </x:c>
      <x:c r="C141" s="59" t="str">
        <x:v>February</x:v>
      </x:c>
      <x:c r="D141" s="57" t="str">
        <x:v>Cutting Re-Spins with Continuous Insight in Altium Develop</x:v>
      </x:c>
      <x:c r="E141" s="59" t="str">
        <x:v>h3TjL-bWdWo</x:v>
      </x:c>
      <x:c r="F141" s="59" t="str">
        <x:v>https://youtu.be/h3TjL-bWdWo</x:v>
      </x:c>
      <x:c r="G141" s="59" t="str">
        <x:v>Direct video</x:v>
      </x:c>
      <x:c r="H141" s="57" t="str">
        <x:v>2026 February Altium series</x:v>
      </x:c>
      <x:c r="I141" s="59" t="str">
        <x:v>Altium Develop</x:v>
      </x:c>
      <x:c r="J141" s="59" t="str">
        <x:v>Invoice</x:v>
      </x:c>
      <x:c r="K141" s="57" t="str">
        <x:v>Gmail invoice archive — February 2026</x:v>
      </x:c>
      <x:c r="L141" s="57" t="str">
        <x:v>URL recovered; current public status not independently verified</x:v>
      </x:c>
      <x:c r="M141" s="57" t="str">
        <x:v>Direct URL recovered from the corresponding Altium invoice archive.</x:v>
      </x:c>
      <x:c r="N141" s="59" t="e">
        <x:f>HYPERLINK(F141,"Open")</x:f>
      </x:c>
    </x:row>
    <x:row r="142" ht="30" hidden="0" customHeight="1">
      <x:c r="A142" s="59" t="n">
        <x:v>138</x:v>
      </x:c>
      <x:c r="B142" s="59" t="str">
        <x:v>2026</x:v>
      </x:c>
      <x:c r="C142" s="59" t="str">
        <x:v>February</x:v>
      </x:c>
      <x:c r="D142" s="57" t="str">
        <x:v>Turning Past Projects into a Living Training Ground with Altium Develop</x:v>
      </x:c>
      <x:c r="E142" s="59" t="str">
        <x:v>YlZOezmm6bc</x:v>
      </x:c>
      <x:c r="F142" s="59" t="str">
        <x:v>https://youtu.be/YlZOezmm6bc</x:v>
      </x:c>
      <x:c r="G142" s="59" t="str">
        <x:v>Direct video</x:v>
      </x:c>
      <x:c r="H142" s="57" t="str">
        <x:v>2026 February Altium series</x:v>
      </x:c>
      <x:c r="I142" s="59" t="str">
        <x:v>Altium Develop</x:v>
      </x:c>
      <x:c r="J142" s="59" t="str">
        <x:v>Invoice</x:v>
      </x:c>
      <x:c r="K142" s="57" t="str">
        <x:v>Gmail invoice archive — February 2026</x:v>
      </x:c>
      <x:c r="L142" s="57" t="str">
        <x:v>URL recovered; current public status not independently verified</x:v>
      </x:c>
      <x:c r="M142" s="57" t="str">
        <x:v>Direct URL recovered from the corresponding Altium invoice archive.</x:v>
      </x:c>
      <x:c r="N142" s="59" t="e">
        <x:f>HYPERLINK(F142,"Open")</x:f>
      </x:c>
    </x:row>
    <x:row r="143" ht="30" hidden="0" customHeight="1">
      <x:c r="A143" s="59" t="n">
        <x:v>139</x:v>
      </x:c>
      <x:c r="B143" s="59" t="str">
        <x:v>2026</x:v>
      </x:c>
      <x:c r="C143" s="59" t="str">
        <x:v>February</x:v>
      </x:c>
      <x:c r="D143" s="57" t="str">
        <x:v>Why Multidisciplinary Teams Need Altium Develop</x:v>
      </x:c>
      <x:c r="E143" s="59" t="str">
        <x:v>COUmuOEVSXg</x:v>
      </x:c>
      <x:c r="F143" s="59" t="str">
        <x:v>https://youtu.be/COUmuOEVSXg</x:v>
      </x:c>
      <x:c r="G143" s="59" t="str">
        <x:v>Direct video</x:v>
      </x:c>
      <x:c r="H143" s="57" t="str">
        <x:v>2026 February Altium series</x:v>
      </x:c>
      <x:c r="I143" s="59" t="str">
        <x:v>Altium Develop</x:v>
      </x:c>
      <x:c r="J143" s="59" t="str">
        <x:v>Invoice</x:v>
      </x:c>
      <x:c r="K143" s="57" t="str">
        <x:v>Gmail invoice archive — February 2026</x:v>
      </x:c>
      <x:c r="L143" s="57" t="str">
        <x:v>URL recovered; current public status not independently verified</x:v>
      </x:c>
      <x:c r="M143" s="57" t="str">
        <x:v>Direct URL recovered from the corresponding Altium invoice archive.</x:v>
      </x:c>
      <x:c r="N143" s="59" t="e">
        <x:f>HYPERLINK(F143,"Open")</x:f>
      </x:c>
    </x:row>
    <x:row r="144" ht="30" hidden="0" customHeight="1">
      <x:c r="A144" s="59" t="n">
        <x:v>140</x:v>
      </x:c>
      <x:c r="B144" s="59" t="str">
        <x:v>2026</x:v>
      </x:c>
      <x:c r="C144" s="59" t="str">
        <x:v>March</x:v>
      </x:c>
      <x:c r="D144" s="57" t="str">
        <x:v>Altium Develop Platform Tour</x:v>
      </x:c>
      <x:c r="E144" s="59" t="str">
        <x:v>fRp3HBx_Dms</x:v>
      </x:c>
      <x:c r="F144" s="59" t="str">
        <x:v>https://youtu.be/fRp3HBx_Dms</x:v>
      </x:c>
      <x:c r="G144" s="59" t="str">
        <x:v>Direct video</x:v>
      </x:c>
      <x:c r="H144" s="57" t="str">
        <x:v>2026 March Altium series</x:v>
      </x:c>
      <x:c r="I144" s="59" t="str">
        <x:v>Altium Develop</x:v>
      </x:c>
      <x:c r="J144" s="59" t="str">
        <x:v>Invoice</x:v>
      </x:c>
      <x:c r="K144" s="57" t="str">
        <x:v>Altium EduEngTeam Invoice March 2026.pdf</x:v>
      </x:c>
      <x:c r="L144" s="57" t="str">
        <x:v>URL recovered; current public status not independently verified</x:v>
      </x:c>
      <x:c r="M144" s="57" t="str">
        <x:v>Direct URL recovered from the corresponding Altium invoice archive.</x:v>
      </x:c>
      <x:c r="N144" s="59" t="e">
        <x:f>HYPERLINK(F144,"Open")</x:f>
      </x:c>
    </x:row>
    <x:row r="145" ht="30" hidden="0" customHeight="1">
      <x:c r="A145" s="59" t="n">
        <x:v>141</x:v>
      </x:c>
      <x:c r="B145" s="59" t="str">
        <x:v>2026</x:v>
      </x:c>
      <x:c r="C145" s="59" t="str">
        <x:v>March</x:v>
      </x:c>
      <x:c r="D145" s="57" t="str">
        <x:v>Creating Team Workspace in Altium Develop</x:v>
      </x:c>
      <x:c r="E145" s="59" t="str">
        <x:v>t-8nE3k7xSs</x:v>
      </x:c>
      <x:c r="F145" s="59" t="str">
        <x:v>https://youtu.be/t-8nE3k7xSs</x:v>
      </x:c>
      <x:c r="G145" s="59" t="str">
        <x:v>Direct video</x:v>
      </x:c>
      <x:c r="H145" s="57" t="str">
        <x:v>2026 March Altium series</x:v>
      </x:c>
      <x:c r="I145" s="59" t="str">
        <x:v>Altium Develop</x:v>
      </x:c>
      <x:c r="J145" s="59" t="str">
        <x:v>Invoice</x:v>
      </x:c>
      <x:c r="K145" s="57" t="str">
        <x:v>Altium EduEngTeam Invoice March 2026.pdf</x:v>
      </x:c>
      <x:c r="L145" s="57" t="str">
        <x:v>URL recovered; current public status not independently verified</x:v>
      </x:c>
      <x:c r="M145" s="57" t="str">
        <x:v>Direct URL recovered from the corresponding Altium invoice archive.</x:v>
      </x:c>
      <x:c r="N145" s="59" t="e">
        <x:f>HYPERLINK(F145,"Open")</x:f>
      </x:c>
    </x:row>
    <x:row r="146" ht="30" hidden="0" customHeight="1">
      <x:c r="A146" s="59" t="n">
        <x:v>142</x:v>
      </x:c>
      <x:c r="B146" s="59" t="str">
        <x:v>2026</x:v>
      </x:c>
      <x:c r="C146" s="59" t="str">
        <x:v>March</x:v>
      </x:c>
      <x:c r="D146" s="57" t="str">
        <x:v>Capturing Arduino UNO schematics</x:v>
      </x:c>
      <x:c r="E146" s="59" t="str">
        <x:v>oDkou7M0k3I</x:v>
      </x:c>
      <x:c r="F146" s="59" t="str">
        <x:v>https://youtu.be/oDkou7M0k3I</x:v>
      </x:c>
      <x:c r="G146" s="59" t="str">
        <x:v>Direct video</x:v>
      </x:c>
      <x:c r="H146" s="57" t="str">
        <x:v>2026 March Altium series</x:v>
      </x:c>
      <x:c r="I146" s="59" t="str">
        <x:v>Altium Develop</x:v>
      </x:c>
      <x:c r="J146" s="59" t="str">
        <x:v>Invoice</x:v>
      </x:c>
      <x:c r="K146" s="57" t="str">
        <x:v>Altium EduEngTeam Invoice March 2026.pdf</x:v>
      </x:c>
      <x:c r="L146" s="57" t="str">
        <x:v>URL recovered; current public status not independently verified</x:v>
      </x:c>
      <x:c r="M146" s="57" t="str">
        <x:v>Direct URL recovered from the corresponding Altium invoice archive.</x:v>
      </x:c>
      <x:c r="N146" s="59" t="e">
        <x:f>HYPERLINK(F146,"Open")</x:f>
      </x:c>
    </x:row>
    <x:row r="147" ht="30" hidden="0" customHeight="1">
      <x:c r="A147" s="59" t="n">
        <x:v>143</x:v>
      </x:c>
      <x:c r="B147" s="59" t="str">
        <x:v>2026</x:v>
      </x:c>
      <x:c r="C147" s="59" t="str">
        <x:v>March</x:v>
      </x:c>
      <x:c r="D147" s="57" t="str">
        <x:v>Managing Arduino UNO Parts in Altium Develop</x:v>
      </x:c>
      <x:c r="E147" s="59" t="str">
        <x:v>pQs1aXdbJpQ</x:v>
      </x:c>
      <x:c r="F147" s="59" t="str">
        <x:v>https://youtu.be/pQs1aXdbJpQ</x:v>
      </x:c>
      <x:c r="G147" s="59" t="str">
        <x:v>Direct video</x:v>
      </x:c>
      <x:c r="H147" s="57" t="str">
        <x:v>2026 March Altium series</x:v>
      </x:c>
      <x:c r="I147" s="59" t="str">
        <x:v>Altium Develop</x:v>
      </x:c>
      <x:c r="J147" s="59" t="str">
        <x:v>Invoice</x:v>
      </x:c>
      <x:c r="K147" s="57" t="str">
        <x:v>Altium EduEngTeam Invoice March 2026.pdf</x:v>
      </x:c>
      <x:c r="L147" s="57" t="str">
        <x:v>URL recovered; current public status not independently verified</x:v>
      </x:c>
      <x:c r="M147" s="57" t="str">
        <x:v>Direct URL recovered from the corresponding Altium invoice archive.</x:v>
      </x:c>
      <x:c r="N147" s="59" t="e">
        <x:f>HYPERLINK(F147,"Open")</x:f>
      </x:c>
    </x:row>
    <x:row r="148" ht="30" hidden="0" customHeight="1">
      <x:c r="A148" s="59" t="n">
        <x:v>144</x:v>
      </x:c>
      <x:c r="B148" s="59" t="str">
        <x:v>2026</x:v>
      </x:c>
      <x:c r="C148" s="59" t="str">
        <x:v>March</x:v>
      </x:c>
      <x:c r="D148" s="57" t="str">
        <x:v>Schematics Review &amp; Comments</x:v>
      </x:c>
      <x:c r="E148" s="59" t="str">
        <x:v>QlxX9bAEsjo</x:v>
      </x:c>
      <x:c r="F148" s="59" t="str">
        <x:v>https://youtu.be/QlxX9bAEsjo</x:v>
      </x:c>
      <x:c r="G148" s="59" t="str">
        <x:v>Direct video</x:v>
      </x:c>
      <x:c r="H148" s="57" t="str">
        <x:v>2026 March Altium series</x:v>
      </x:c>
      <x:c r="I148" s="59" t="str">
        <x:v>Altium Develop</x:v>
      </x:c>
      <x:c r="J148" s="59" t="str">
        <x:v>Invoice</x:v>
      </x:c>
      <x:c r="K148" s="57" t="str">
        <x:v>Altium EduEngTeam Invoice March 2026.pdf</x:v>
      </x:c>
      <x:c r="L148" s="57" t="str">
        <x:v>URL recovered; current public status not independently verified</x:v>
      </x:c>
      <x:c r="M148" s="57" t="str">
        <x:v>Direct URL recovered from the corresponding Altium invoice archive.</x:v>
      </x:c>
      <x:c r="N148" s="59" t="e">
        <x:f>HYPERLINK(F148,"Open")</x:f>
      </x:c>
    </x:row>
    <x:row r="149" ht="30" hidden="0" customHeight="1">
      <x:c r="A149" s="59" t="n">
        <x:v>145</x:v>
      </x:c>
      <x:c r="B149" s="59" t="str">
        <x:v>2026</x:v>
      </x:c>
      <x:c r="C149" s="59" t="str">
        <x:v>March</x:v>
      </x:c>
      <x:c r="D149" s="57" t="str">
        <x:v>Design Rules for Arduino UNO</x:v>
      </x:c>
      <x:c r="E149" s="59" t="str">
        <x:v>0HzhGphBn6k</x:v>
      </x:c>
      <x:c r="F149" s="59" t="str">
        <x:v>https://youtu.be/0HzhGphBn6k</x:v>
      </x:c>
      <x:c r="G149" s="59" t="str">
        <x:v>Direct video</x:v>
      </x:c>
      <x:c r="H149" s="57" t="str">
        <x:v>2026 March Altium series</x:v>
      </x:c>
      <x:c r="I149" s="59" t="str">
        <x:v>Altium Develop</x:v>
      </x:c>
      <x:c r="J149" s="59" t="str">
        <x:v>Invoice</x:v>
      </x:c>
      <x:c r="K149" s="57" t="str">
        <x:v>Altium EduEngTeam Invoice March 2026.pdf</x:v>
      </x:c>
      <x:c r="L149" s="57" t="str">
        <x:v>URL recovered; current public status not independently verified</x:v>
      </x:c>
      <x:c r="M149" s="57" t="str">
        <x:v>Direct URL recovered from the corresponding Altium invoice archive.</x:v>
      </x:c>
      <x:c r="N149" s="59" t="e">
        <x:f>HYPERLINK(F149,"Open")</x:f>
      </x:c>
    </x:row>
    <x:row r="150" ht="30" hidden="0" customHeight="1">
      <x:c r="A150" s="59" t="n">
        <x:v>146</x:v>
      </x:c>
      <x:c r="B150" s="59" t="str">
        <x:v>2026</x:v>
      </x:c>
      <x:c r="C150" s="59" t="str">
        <x:v>March</x:v>
      </x:c>
      <x:c r="D150" s="57" t="str">
        <x:v>Placing &amp; Routing Arduino UNO</x:v>
      </x:c>
      <x:c r="E150" s="59" t="str">
        <x:v>oy3y99JuCc0</x:v>
      </x:c>
      <x:c r="F150" s="59" t="str">
        <x:v>https://youtu.be/oy3y99JuCc0</x:v>
      </x:c>
      <x:c r="G150" s="59" t="str">
        <x:v>Direct video</x:v>
      </x:c>
      <x:c r="H150" s="57" t="str">
        <x:v>2026 March Altium series</x:v>
      </x:c>
      <x:c r="I150" s="59" t="str">
        <x:v>Altium Develop</x:v>
      </x:c>
      <x:c r="J150" s="59" t="str">
        <x:v>Invoice</x:v>
      </x:c>
      <x:c r="K150" s="57" t="str">
        <x:v>Altium EduEngTeam Invoice March 2026.pdf</x:v>
      </x:c>
      <x:c r="L150" s="57" t="str">
        <x:v>URL recovered; current public status not independently verified</x:v>
      </x:c>
      <x:c r="M150" s="57" t="str">
        <x:v>Direct URL recovered from the corresponding Altium invoice archive.</x:v>
      </x:c>
      <x:c r="N150" s="59" t="e">
        <x:f>HYPERLINK(F150,"Open")</x:f>
      </x:c>
    </x:row>
    <x:row r="151" ht="30" hidden="0" customHeight="1">
      <x:c r="A151" s="59" t="n">
        <x:v>147</x:v>
      </x:c>
      <x:c r="B151" s="59" t="str">
        <x:v>2026</x:v>
      </x:c>
      <x:c r="C151" s="59" t="str">
        <x:v>March</x:v>
      </x:c>
      <x:c r="D151" s="57" t="str">
        <x:v>MCAD Co-Designer checks for Arduino UNO in Develop</x:v>
      </x:c>
      <x:c r="E151" s="59" t="str">
        <x:v>VvHRmc21EXg</x:v>
      </x:c>
      <x:c r="F151" s="59" t="str">
        <x:v>https://youtu.be/VvHRmc21EXg</x:v>
      </x:c>
      <x:c r="G151" s="59" t="str">
        <x:v>Direct video</x:v>
      </x:c>
      <x:c r="H151" s="57" t="str">
        <x:v>2026 March Altium series</x:v>
      </x:c>
      <x:c r="I151" s="59" t="str">
        <x:v>Altium Develop</x:v>
      </x:c>
      <x:c r="J151" s="59" t="str">
        <x:v>Invoice</x:v>
      </x:c>
      <x:c r="K151" s="57" t="str">
        <x:v>Altium EduEngTeam Invoice March 2026.pdf</x:v>
      </x:c>
      <x:c r="L151" s="57" t="str">
        <x:v>URL recovered; current public status not independently verified</x:v>
      </x:c>
      <x:c r="M151" s="57" t="str">
        <x:v>Direct URL recovered from the corresponding Altium invoice archive.</x:v>
      </x:c>
      <x:c r="N151" s="59" t="e">
        <x:f>HYPERLINK(F151,"Open")</x:f>
      </x:c>
    </x:row>
    <x:row r="152" ht="30" hidden="0" customHeight="1">
      <x:c r="A152" s="59" t="n">
        <x:v>148</x:v>
      </x:c>
      <x:c r="B152" s="59" t="str">
        <x:v>2026</x:v>
      </x:c>
      <x:c r="C152" s="59" t="str">
        <x:v>March</x:v>
      </x:c>
      <x:c r="D152" s="57" t="str">
        <x:v>BOM Management for Arduino UNO</x:v>
      </x:c>
      <x:c r="E152" s="59" t="str">
        <x:v>vyiC7nD9Tdc</x:v>
      </x:c>
      <x:c r="F152" s="59" t="str">
        <x:v>https://youtu.be/vyiC7nD9Tdc</x:v>
      </x:c>
      <x:c r="G152" s="59" t="str">
        <x:v>Direct video</x:v>
      </x:c>
      <x:c r="H152" s="57" t="str">
        <x:v>2026 March Altium series</x:v>
      </x:c>
      <x:c r="I152" s="59" t="str">
        <x:v>Altium Develop</x:v>
      </x:c>
      <x:c r="J152" s="59" t="str">
        <x:v>Invoice</x:v>
      </x:c>
      <x:c r="K152" s="57" t="str">
        <x:v>Altium EduEngTeam Invoice March 2026.pdf</x:v>
      </x:c>
      <x:c r="L152" s="57" t="str">
        <x:v>URL recovered; current public status not independently verified</x:v>
      </x:c>
      <x:c r="M152" s="57" t="str">
        <x:v>Direct URL recovered from the corresponding Altium invoice archive.</x:v>
      </x:c>
      <x:c r="N152" s="59" t="e">
        <x:f>HYPERLINK(F152,"Open")</x:f>
      </x:c>
    </x:row>
    <x:row r="153" ht="30" hidden="0" customHeight="1">
      <x:c r="A153" s="59" t="n">
        <x:v>149</x:v>
      </x:c>
      <x:c r="B153" s="59" t="str">
        <x:v>2026</x:v>
      </x:c>
      <x:c r="C153" s="59" t="str">
        <x:v>March</x:v>
      </x:c>
      <x:c r="D153" s="57" t="str">
        <x:v>Releasing Project in Altium Develop</x:v>
      </x:c>
      <x:c r="E153" s="59" t="str">
        <x:v>4rI8BLQ1PXk</x:v>
      </x:c>
      <x:c r="F153" s="59" t="str">
        <x:v>https://youtu.be/4rI8BLQ1PXk</x:v>
      </x:c>
      <x:c r="G153" s="59" t="str">
        <x:v>Direct video</x:v>
      </x:c>
      <x:c r="H153" s="57" t="str">
        <x:v>2026 March Altium series</x:v>
      </x:c>
      <x:c r="I153" s="59" t="str">
        <x:v>Altium Develop</x:v>
      </x:c>
      <x:c r="J153" s="59" t="str">
        <x:v>Invoice</x:v>
      </x:c>
      <x:c r="K153" s="57" t="str">
        <x:v>Altium EduEngTeam Invoice March 2026.pdf</x:v>
      </x:c>
      <x:c r="L153" s="57" t="str">
        <x:v>URL recovered; current public status not independently verified</x:v>
      </x:c>
      <x:c r="M153" s="57" t="str">
        <x:v>Direct URL recovered from the corresponding Altium invoice archive.</x:v>
      </x:c>
      <x:c r="N153" s="59" t="e">
        <x:f>HYPERLINK(F153,"Open")</x:f>
      </x:c>
    </x:row>
    <x:row r="154" ht="30" hidden="0" customHeight="1">
      <x:c r="A154" s="59" t="n">
        <x:v>150</x:v>
      </x:c>
      <x:c r="B154" s="59" t="str">
        <x:v>2026</x:v>
      </x:c>
      <x:c r="C154" s="59" t="str">
        <x:v>March</x:v>
      </x:c>
      <x:c r="D154" s="57" t="str">
        <x:v>Generating Manufacturing Outputs for Arduino</x:v>
      </x:c>
      <x:c r="E154" s="59" t="str">
        <x:v>FQnj9FhfQ4U</x:v>
      </x:c>
      <x:c r="F154" s="59" t="str">
        <x:v>https://youtu.be/FQnj9FhfQ4U</x:v>
      </x:c>
      <x:c r="G154" s="59" t="str">
        <x:v>Direct video</x:v>
      </x:c>
      <x:c r="H154" s="57" t="str">
        <x:v>2026 March Altium series</x:v>
      </x:c>
      <x:c r="I154" s="59" t="str">
        <x:v>Altium Develop</x:v>
      </x:c>
      <x:c r="J154" s="59" t="str">
        <x:v>Invoice</x:v>
      </x:c>
      <x:c r="K154" s="57" t="str">
        <x:v>Altium EduEngTeam Invoice March 2026.pdf</x:v>
      </x:c>
      <x:c r="L154" s="57" t="str">
        <x:v>URL recovered; current public status not independently verified</x:v>
      </x:c>
      <x:c r="M154" s="57" t="str">
        <x:v>Direct URL recovered from the corresponding Altium invoice archive.</x:v>
      </x:c>
      <x:c r="N154" s="59" t="e">
        <x:f>HYPERLINK(F154,"Open")</x:f>
      </x:c>
    </x:row>
    <x:row r="155" ht="30" hidden="0" customHeight="1">
      <x:c r="A155" s="59" t="n">
        <x:v>151</x:v>
      </x:c>
      <x:c r="B155" s="59" t="str">
        <x:v>2026</x:v>
      </x:c>
      <x:c r="C155" s="59" t="str">
        <x:v>March</x:v>
      </x:c>
      <x:c r="D155" s="57" t="str">
        <x:v>Team Handoff &amp; Next steps</x:v>
      </x:c>
      <x:c r="E155" s="59" t="str">
        <x:v>WT_bDQ6kMmU</x:v>
      </x:c>
      <x:c r="F155" s="59" t="str">
        <x:v>https://youtu.be/WT_bDQ6kMmU</x:v>
      </x:c>
      <x:c r="G155" s="59" t="str">
        <x:v>Direct video</x:v>
      </x:c>
      <x:c r="H155" s="57" t="str">
        <x:v>2026 March Altium series</x:v>
      </x:c>
      <x:c r="I155" s="59" t="str">
        <x:v>Altium Develop</x:v>
      </x:c>
      <x:c r="J155" s="59" t="str">
        <x:v>Invoice</x:v>
      </x:c>
      <x:c r="K155" s="57" t="str">
        <x:v>Altium EduEngTeam Invoice March 2026.pdf</x:v>
      </x:c>
      <x:c r="L155" s="57" t="str">
        <x:v>URL recovered; current public status not independently verified</x:v>
      </x:c>
      <x:c r="M155" s="57" t="str">
        <x:v>Direct URL recovered from the corresponding Altium invoice archive.</x:v>
      </x:c>
      <x:c r="N155" s="59" t="e">
        <x:f>HYPERLINK(F155,"Open")</x:f>
      </x:c>
    </x:row>
    <x:row r="156" ht="30" hidden="0" customHeight="1">
      <x:c r="A156" s="59" t="n">
        <x:v>152</x:v>
      </x:c>
      <x:c r="B156" s="59" t="str">
        <x:v>2026</x:v>
      </x:c>
      <x:c r="C156" s="59" t="str">
        <x:v>April</x:v>
      </x:c>
      <x:c r="D156" s="57" t="str">
        <x:v>Altium Develop in 5 Minutes: Complete Overview</x:v>
      </x:c>
      <x:c r="E156" s="59" t="str">
        <x:v>o-8e9wwzWdA</x:v>
      </x:c>
      <x:c r="F156" s="59" t="str">
        <x:v>https://youtu.be/o-8e9wwzWdA</x:v>
      </x:c>
      <x:c r="G156" s="59" t="str">
        <x:v>Direct video</x:v>
      </x:c>
      <x:c r="H156" s="57" t="str">
        <x:v>2026 April Altium series</x:v>
      </x:c>
      <x:c r="I156" s="59" t="str">
        <x:v>Altium Develop</x:v>
      </x:c>
      <x:c r="J156" s="59" t="str">
        <x:v>Invoice</x:v>
      </x:c>
      <x:c r="K156" s="57" t="str">
        <x:v>Altium EduEngTeam Invoice April 2026.pdf</x:v>
      </x:c>
      <x:c r="L156" s="57" t="str">
        <x:v>URL recovered; current public status not independently verified</x:v>
      </x:c>
      <x:c r="M156" s="57" t="str">
        <x:v>Direct URL recovered from the corresponding Altium invoice archive.</x:v>
      </x:c>
      <x:c r="N156" s="59" t="e">
        <x:f>HYPERLINK(F156,"Open")</x:f>
      </x:c>
    </x:row>
    <x:row r="157" ht="30" hidden="0" customHeight="1">
      <x:c r="A157" s="59" t="n">
        <x:v>153</x:v>
      </x:c>
      <x:c r="B157" s="59" t="str">
        <x:v>2026</x:v>
      </x:c>
      <x:c r="C157" s="59" t="str">
        <x:v>April</x:v>
      </x:c>
      <x:c r="D157" s="57" t="str">
        <x:v>Your First Team Workspace in Altium Develop</x:v>
      </x:c>
      <x:c r="E157" s="59" t="str">
        <x:v>TnnJpUn2A_4</x:v>
      </x:c>
      <x:c r="F157" s="59" t="str">
        <x:v>https://youtu.be/TnnJpUn2A_4</x:v>
      </x:c>
      <x:c r="G157" s="59" t="str">
        <x:v>Direct video</x:v>
      </x:c>
      <x:c r="H157" s="57" t="str">
        <x:v>2026 April Altium series</x:v>
      </x:c>
      <x:c r="I157" s="59" t="str">
        <x:v>Altium Develop</x:v>
      </x:c>
      <x:c r="J157" s="59" t="str">
        <x:v>Invoice</x:v>
      </x:c>
      <x:c r="K157" s="57" t="str">
        <x:v>Altium EduEngTeam Invoice April 2026.pdf</x:v>
      </x:c>
      <x:c r="L157" s="57" t="str">
        <x:v>URL recovered; current public status not independently verified</x:v>
      </x:c>
      <x:c r="M157" s="57" t="str">
        <x:v>Direct URL recovered from the corresponding Altium invoice archive.</x:v>
      </x:c>
      <x:c r="N157" s="59" t="e">
        <x:f>HYPERLINK(F157,"Open")</x:f>
      </x:c>
    </x:row>
    <x:row r="158" ht="30" hidden="0" customHeight="1">
      <x:c r="A158" s="59" t="n">
        <x:v>154</x:v>
      </x:c>
      <x:c r="B158" s="59" t="str">
        <x:v>2026</x:v>
      </x:c>
      <x:c r="C158" s="59" t="str">
        <x:v>April</x:v>
      </x:c>
      <x:c r="D158" s="57" t="str">
        <x:v>From Schematic to PCB in Altium Develop</x:v>
      </x:c>
      <x:c r="E158" s="59" t="str">
        <x:v>96oGDMsqN3I</x:v>
      </x:c>
      <x:c r="F158" s="59" t="str">
        <x:v>https://youtu.be/96oGDMsqN3I</x:v>
      </x:c>
      <x:c r="G158" s="59" t="str">
        <x:v>Direct video</x:v>
      </x:c>
      <x:c r="H158" s="57" t="str">
        <x:v>2026 April Altium series</x:v>
      </x:c>
      <x:c r="I158" s="59" t="str">
        <x:v>Altium Develop</x:v>
      </x:c>
      <x:c r="J158" s="59" t="str">
        <x:v>Invoice</x:v>
      </x:c>
      <x:c r="K158" s="57" t="str">
        <x:v>Altium EduEngTeam Invoice April 2026.pdf</x:v>
      </x:c>
      <x:c r="L158" s="57" t="str">
        <x:v>URL recovered; current public status not independently verified</x:v>
      </x:c>
      <x:c r="M158" s="57" t="str">
        <x:v>Direct URL recovered from the corresponding Altium invoice archive.</x:v>
      </x:c>
      <x:c r="N158" s="59" t="e">
        <x:f>HYPERLINK(F158,"Open")</x:f>
      </x:c>
    </x:row>
    <x:row r="159" ht="30" hidden="0" customHeight="1">
      <x:c r="A159" s="59" t="n">
        <x:v>155</x:v>
      </x:c>
      <x:c r="B159" s="59" t="str">
        <x:v>2026</x:v>
      </x:c>
      <x:c r="C159" s="59" t="str">
        <x:v>April</x:v>
      </x:c>
      <x:c r="D159" s="57" t="str">
        <x:v>Design Rules and DRC the Simple Way in Altium Develop</x:v>
      </x:c>
      <x:c r="E159" s="59" t="str">
        <x:v>_LOIj4NnUjg</x:v>
      </x:c>
      <x:c r="F159" s="59" t="str">
        <x:v>https://youtu.be/_LOIj4NnUjg</x:v>
      </x:c>
      <x:c r="G159" s="59" t="str">
        <x:v>Direct video</x:v>
      </x:c>
      <x:c r="H159" s="57" t="str">
        <x:v>2026 April Altium series</x:v>
      </x:c>
      <x:c r="I159" s="59" t="str">
        <x:v>Altium Develop</x:v>
      </x:c>
      <x:c r="J159" s="59" t="str">
        <x:v>Invoice</x:v>
      </x:c>
      <x:c r="K159" s="57" t="str">
        <x:v>Altium EduEngTeam Invoice April 2026.pdf</x:v>
      </x:c>
      <x:c r="L159" s="57" t="str">
        <x:v>URL recovered; current public status not independently verified</x:v>
      </x:c>
      <x:c r="M159" s="57" t="str">
        <x:v>Direct URL recovered from the corresponding Altium invoice archive.</x:v>
      </x:c>
      <x:c r="N159" s="59" t="e">
        <x:f>HYPERLINK(F159,"Open")</x:f>
      </x:c>
    </x:row>
    <x:row r="160" ht="30" hidden="0" customHeight="1">
      <x:c r="A160" s="59" t="n">
        <x:v>156</x:v>
      </x:c>
      <x:c r="B160" s="59" t="str">
        <x:v>2026</x:v>
      </x:c>
      <x:c r="C160" s="59" t="str">
        <x:v>April</x:v>
      </x:c>
      <x:c r="D160" s="57" t="str">
        <x:v>Comments, Reviews, and Design Intent in Altium Develop</x:v>
      </x:c>
      <x:c r="E160" s="59" t="str">
        <x:v>DvvKglYegsM</x:v>
      </x:c>
      <x:c r="F160" s="59" t="str">
        <x:v>https://youtu.be/DvvKglYegsM</x:v>
      </x:c>
      <x:c r="G160" s="59" t="str">
        <x:v>Direct video</x:v>
      </x:c>
      <x:c r="H160" s="57" t="str">
        <x:v>2026 April Altium series</x:v>
      </x:c>
      <x:c r="I160" s="59" t="str">
        <x:v>Altium Develop</x:v>
      </x:c>
      <x:c r="J160" s="59" t="str">
        <x:v>Invoice</x:v>
      </x:c>
      <x:c r="K160" s="57" t="str">
        <x:v>Altium EduEngTeam Invoice April 2026.pdf</x:v>
      </x:c>
      <x:c r="L160" s="57" t="str">
        <x:v>URL recovered; current public status not independently verified</x:v>
      </x:c>
      <x:c r="M160" s="57" t="str">
        <x:v>Direct URL recovered from the corresponding Altium invoice archive.</x:v>
      </x:c>
      <x:c r="N160" s="59" t="e">
        <x:f>HYPERLINK(F160,"Open")</x:f>
      </x:c>
    </x:row>
    <x:row r="161" ht="30" hidden="0" customHeight="1">
      <x:c r="A161" s="59" t="n">
        <x:v>157</x:v>
      </x:c>
      <x:c r="B161" s="59" t="str">
        <x:v>2026</x:v>
      </x:c>
      <x:c r="C161" s="59" t="str">
        <x:v>April</x:v>
      </x:c>
      <x:c r="D161" s="57" t="str">
        <x:v>Managing Hardware Project Workflow in Altium Develop</x:v>
      </x:c>
      <x:c r="E161" s="59" t="str">
        <x:v>LUfHwtYxyLg</x:v>
      </x:c>
      <x:c r="F161" s="59" t="str">
        <x:v>https://youtu.be/LUfHwtYxyLg</x:v>
      </x:c>
      <x:c r="G161" s="59" t="str">
        <x:v>Direct video</x:v>
      </x:c>
      <x:c r="H161" s="57" t="str">
        <x:v>2026 April Altium series</x:v>
      </x:c>
      <x:c r="I161" s="59" t="str">
        <x:v>Altium Develop</x:v>
      </x:c>
      <x:c r="J161" s="59" t="str">
        <x:v>Invoice</x:v>
      </x:c>
      <x:c r="K161" s="57" t="str">
        <x:v>Altium EduEngTeam Invoice April 2026.pdf</x:v>
      </x:c>
      <x:c r="L161" s="57" t="str">
        <x:v>URL recovered; current public status not independently verified</x:v>
      </x:c>
      <x:c r="M161" s="57" t="str">
        <x:v>Direct URL recovered from the corresponding Altium invoice archive.</x:v>
      </x:c>
      <x:c r="N161" s="59" t="e">
        <x:f>HYPERLINK(F161,"Open")</x:f>
      </x:c>
    </x:row>
    <x:row r="162" ht="30" hidden="0" customHeight="1">
      <x:c r="A162" s="59" t="n">
        <x:v>158</x:v>
      </x:c>
      <x:c r="B162" s="59" t="str">
        <x:v>2026</x:v>
      </x:c>
      <x:c r="C162" s="59" t="str">
        <x:v>April</x:v>
      </x:c>
      <x:c r="D162" s="57" t="str">
        <x:v>Tracking Progress and Using History in Altium Develop</x:v>
      </x:c>
      <x:c r="E162" s="59" t="str">
        <x:v>3jkBNnnJoNc</x:v>
      </x:c>
      <x:c r="F162" s="59" t="str">
        <x:v>https://youtu.be/3jkBNnnJoNc</x:v>
      </x:c>
      <x:c r="G162" s="59" t="str">
        <x:v>Direct video</x:v>
      </x:c>
      <x:c r="H162" s="57" t="str">
        <x:v>2026 April Altium series</x:v>
      </x:c>
      <x:c r="I162" s="59" t="str">
        <x:v>Altium Develop</x:v>
      </x:c>
      <x:c r="J162" s="59" t="str">
        <x:v>Invoice</x:v>
      </x:c>
      <x:c r="K162" s="57" t="str">
        <x:v>Altium EduEngTeam Invoice April 2026.pdf</x:v>
      </x:c>
      <x:c r="L162" s="57" t="str">
        <x:v>URL recovered; current public status not independently verified</x:v>
      </x:c>
      <x:c r="M162" s="57" t="str">
        <x:v>Direct URL recovered from the corresponding Altium invoice archive.</x:v>
      </x:c>
      <x:c r="N162" s="59" t="e">
        <x:f>HYPERLINK(F162,"Open")</x:f>
      </x:c>
    </x:row>
    <x:row r="163" ht="30" hidden="0" customHeight="1">
      <x:c r="A163" s="59" t="n">
        <x:v>159</x:v>
      </x:c>
      <x:c r="B163" s="59" t="str">
        <x:v>2026</x:v>
      </x:c>
      <x:c r="C163" s="59" t="str">
        <x:v>April</x:v>
      </x:c>
      <x:c r="D163" s="57" t="str">
        <x:v>Version Control in Altium Develop: No More Headaches</x:v>
      </x:c>
      <x:c r="E163" s="59" t="str">
        <x:v>QW8Hw8e_li8</x:v>
      </x:c>
      <x:c r="F163" s="59" t="str">
        <x:v>https://youtu.be/QW8Hw8e_li8</x:v>
      </x:c>
      <x:c r="G163" s="59" t="str">
        <x:v>Direct video</x:v>
      </x:c>
      <x:c r="H163" s="57" t="str">
        <x:v>2026 April Altium series</x:v>
      </x:c>
      <x:c r="I163" s="59" t="str">
        <x:v>Altium Develop</x:v>
      </x:c>
      <x:c r="J163" s="59" t="str">
        <x:v>Invoice</x:v>
      </x:c>
      <x:c r="K163" s="57" t="str">
        <x:v>Altium EduEngTeam Invoice April 2026.pdf</x:v>
      </x:c>
      <x:c r="L163" s="57" t="str">
        <x:v>URL recovered; current public status not independently verified</x:v>
      </x:c>
      <x:c r="M163" s="57" t="str">
        <x:v>Direct URL recovered from the corresponding Altium invoice archive.</x:v>
      </x:c>
      <x:c r="N163" s="59" t="e">
        <x:f>HYPERLINK(F163,"Open")</x:f>
      </x:c>
    </x:row>
    <x:row r="164" ht="30" hidden="0" customHeight="1">
      <x:c r="A164" s="59" t="n">
        <x:v>160</x:v>
      </x:c>
      <x:c r="B164" s="59" t="str">
        <x:v>2026</x:v>
      </x:c>
      <x:c r="C164" s="59" t="str">
        <x:v>April</x:v>
      </x:c>
      <x:c r="D164" s="57" t="str">
        <x:v>ECAD-MCAD Collaboration and External Stakeholders in Altium Develop</x:v>
      </x:c>
      <x:c r="E164" s="59" t="str">
        <x:v>5F_XsUPN8xk</x:v>
      </x:c>
      <x:c r="F164" s="59" t="str">
        <x:v>https://youtu.be/5F_XsUPN8xk</x:v>
      </x:c>
      <x:c r="G164" s="59" t="str">
        <x:v>Direct video</x:v>
      </x:c>
      <x:c r="H164" s="57" t="str">
        <x:v>2026 April Altium series</x:v>
      </x:c>
      <x:c r="I164" s="59" t="str">
        <x:v>Altium Develop</x:v>
      </x:c>
      <x:c r="J164" s="59" t="str">
        <x:v>Invoice</x:v>
      </x:c>
      <x:c r="K164" s="57" t="str">
        <x:v>Altium EduEngTeam Invoice April 2026.pdf</x:v>
      </x:c>
      <x:c r="L164" s="57" t="str">
        <x:v>URL recovered; current public status not independently verified</x:v>
      </x:c>
      <x:c r="M164" s="57" t="str">
        <x:v>Direct URL recovered from the corresponding Altium invoice archive.</x:v>
      </x:c>
      <x:c r="N164" s="59" t="e">
        <x:f>HYPERLINK(F164,"Open")</x:f>
      </x:c>
    </x:row>
    <x:row r="165" ht="30" hidden="0" customHeight="1">
      <x:c r="A165" s="59" t="n">
        <x:v>161</x:v>
      </x:c>
      <x:c r="B165" s="59" t="str">
        <x:v>2026</x:v>
      </x:c>
      <x:c r="C165" s="59" t="str">
        <x:v>April</x:v>
      </x:c>
      <x:c r="D165" s="57" t="str">
        <x:v>BOM, Supply Chain, and Fast Supplier Feedback in Altium Develop</x:v>
      </x:c>
      <x:c r="E165" s="59" t="str">
        <x:v>89igYeQXZ_o</x:v>
      </x:c>
      <x:c r="F165" s="59" t="str">
        <x:v>https://youtu.be/89igYeQXZ_o</x:v>
      </x:c>
      <x:c r="G165" s="59" t="str">
        <x:v>Direct video</x:v>
      </x:c>
      <x:c r="H165" s="57" t="str">
        <x:v>2026 April Altium series</x:v>
      </x:c>
      <x:c r="I165" s="59" t="str">
        <x:v>Altium Develop</x:v>
      </x:c>
      <x:c r="J165" s="59" t="str">
        <x:v>Invoice</x:v>
      </x:c>
      <x:c r="K165" s="57" t="str">
        <x:v>Altium EduEngTeam Invoice April 2026.pdf</x:v>
      </x:c>
      <x:c r="L165" s="57" t="str">
        <x:v>URL recovered; current public status not independently verified</x:v>
      </x:c>
      <x:c r="M165" s="57" t="str">
        <x:v>Direct URL recovered from the corresponding Altium invoice archive.</x:v>
      </x:c>
      <x:c r="N165" s="59" t="e">
        <x:f>HYPERLINK(F165,"Open")</x:f>
      </x:c>
    </x:row>
    <x:row r="166" ht="30" hidden="0" customHeight="1">
      <x:c r="A166" s="59" t="n">
        <x:v>162</x:v>
      </x:c>
      <x:c r="B166" s="59" t="str">
        <x:v>2026</x:v>
      </x:c>
      <x:c r="C166" s="59" t="str">
        <x:v>April</x:v>
      </x:c>
      <x:c r="D166" s="57" t="str">
        <x:v>Working with Partners and Post Silicon Iteration in Altium Develop</x:v>
      </x:c>
      <x:c r="E166" s="59" t="str">
        <x:v>7jQW5RRFpsQ</x:v>
      </x:c>
      <x:c r="F166" s="59" t="str">
        <x:v>https://youtu.be/7jQW5RRFpsQ</x:v>
      </x:c>
      <x:c r="G166" s="59" t="str">
        <x:v>Direct video</x:v>
      </x:c>
      <x:c r="H166" s="57" t="str">
        <x:v>2026 April Altium series</x:v>
      </x:c>
      <x:c r="I166" s="59" t="str">
        <x:v>Altium Develop</x:v>
      </x:c>
      <x:c r="J166" s="59" t="str">
        <x:v>Invoice</x:v>
      </x:c>
      <x:c r="K166" s="57" t="str">
        <x:v>Altium EduEngTeam Invoice April 2026.pdf</x:v>
      </x:c>
      <x:c r="L166" s="57" t="str">
        <x:v>URL recovered; current public status not independently verified</x:v>
      </x:c>
      <x:c r="M166" s="57" t="str">
        <x:v>Direct URL recovered from the corresponding Altium invoice archive.</x:v>
      </x:c>
      <x:c r="N166" s="59" t="e">
        <x:f>HYPERLINK(F166,"Open")</x:f>
      </x:c>
    </x:row>
    <x:row r="167" ht="30" hidden="0" customHeight="1">
      <x:c r="A167" s="59" t="n">
        <x:v>163</x:v>
      </x:c>
      <x:c r="B167" s="59" t="str">
        <x:v>2026</x:v>
      </x:c>
      <x:c r="C167" s="59" t="str">
        <x:v>April</x:v>
      </x:c>
      <x:c r="D167" s="57" t="str">
        <x:v>Coaching Teams and Scaling Best Practices with Altium Develop</x:v>
      </x:c>
      <x:c r="E167" s="59" t="str">
        <x:v>PQPA30fd1NY</x:v>
      </x:c>
      <x:c r="F167" s="59" t="str">
        <x:v>https://youtu.be/PQPA30fd1NY</x:v>
      </x:c>
      <x:c r="G167" s="59" t="str">
        <x:v>Direct video</x:v>
      </x:c>
      <x:c r="H167" s="57" t="str">
        <x:v>2026 April Altium series</x:v>
      </x:c>
      <x:c r="I167" s="59" t="str">
        <x:v>Altium Develop</x:v>
      </x:c>
      <x:c r="J167" s="59" t="str">
        <x:v>Invoice</x:v>
      </x:c>
      <x:c r="K167" s="57" t="str">
        <x:v>Altium EduEngTeam Invoice April 2026.pdf</x:v>
      </x:c>
      <x:c r="L167" s="57" t="str">
        <x:v>URL recovered; current public status not independently verified</x:v>
      </x:c>
      <x:c r="M167" s="57" t="str">
        <x:v>Direct URL recovered from the corresponding Altium invoice archive.</x:v>
      </x:c>
      <x:c r="N167" s="59" t="e">
        <x:f>HYPERLINK(F167,"Open")</x:f>
      </x:c>
    </x:row>
    <x:row r="168" ht="30" hidden="0" customHeight="1">
      <x:c r="A168" s="59" t="n">
        <x:v>164</x:v>
      </x:c>
      <x:c r="B168" s="59" t="str">
        <x:v>2026</x:v>
      </x:c>
      <x:c r="C168" s="59" t="str">
        <x:v>May</x:v>
      </x:c>
      <x:c r="D168" s="57" t="str">
        <x:v>Stop Guessing: Threaded Hardware Discussions in Altium Develop | PCB Team Communication</x:v>
      </x:c>
      <x:c r="E168" s="59" t="str">
        <x:v>H88Q08Lf4Kk</x:v>
      </x:c>
      <x:c r="F168" s="59" t="str">
        <x:v>https://youtu.be/H88Q08Lf4Kk</x:v>
      </x:c>
      <x:c r="G168" s="59" t="str">
        <x:v>Direct video</x:v>
      </x:c>
      <x:c r="H168" s="57" t="str">
        <x:v>2026 May Altium series</x:v>
      </x:c>
      <x:c r="I168" s="59" t="str">
        <x:v>Altium Develop</x:v>
      </x:c>
      <x:c r="J168" s="59" t="str">
        <x:v>Invoice</x:v>
      </x:c>
      <x:c r="K168" s="57" t="str">
        <x:v>Altium EduEngTeam Invoice May 2026.pdf</x:v>
      </x:c>
      <x:c r="L168" s="57" t="str">
        <x:v>URL recovered; current public status not independently verified</x:v>
      </x:c>
      <x:c r="M168" s="57" t="str">
        <x:v>Direct URL recovered from the corresponding Altium invoice archive.</x:v>
      </x:c>
      <x:c r="N168" s="59" t="e">
        <x:f>HYPERLINK(F168,"Open")</x:f>
      </x:c>
    </x:row>
    <x:row r="169" ht="30" hidden="0" customHeight="1">
      <x:c r="A169" s="59" t="n">
        <x:v>165</x:v>
      </x:c>
      <x:c r="B169" s="59" t="str">
        <x:v>2026</x:v>
      </x:c>
      <x:c r="C169" s="59" t="str">
        <x:v>May</x:v>
      </x:c>
      <x:c r="D169" s="57" t="str">
        <x:v>One Day in a Hardware Team Workspace in Altium Develop | PCB Collaboration Workflow</x:v>
      </x:c>
      <x:c r="E169" s="59" t="str">
        <x:v>3B-cI9xEx9Q</x:v>
      </x:c>
      <x:c r="F169" s="59" t="str">
        <x:v>https://youtu.be/3B-cI9xEx9Q</x:v>
      </x:c>
      <x:c r="G169" s="59" t="str">
        <x:v>Direct video</x:v>
      </x:c>
      <x:c r="H169" s="57" t="str">
        <x:v>2026 May Altium series</x:v>
      </x:c>
      <x:c r="I169" s="59" t="str">
        <x:v>Altium Develop</x:v>
      </x:c>
      <x:c r="J169" s="59" t="str">
        <x:v>Invoice</x:v>
      </x:c>
      <x:c r="K169" s="57" t="str">
        <x:v>Altium EduEngTeam Invoice May 2026.pdf</x:v>
      </x:c>
      <x:c r="L169" s="57" t="str">
        <x:v>URL recovered; current public status not independently verified</x:v>
      </x:c>
      <x:c r="M169" s="57" t="str">
        <x:v>Direct URL recovered from the corresponding Altium invoice archive.</x:v>
      </x:c>
      <x:c r="N169" s="59" t="e">
        <x:f>HYPERLINK(F169,"Open")</x:f>
      </x:c>
    </x:row>
    <x:row r="170" ht="30" hidden="0" customHeight="1">
      <x:c r="A170" s="59" t="n">
        <x:v>166</x:v>
      </x:c>
      <x:c r="B170" s="59" t="str">
        <x:v>2026</x:v>
      </x:c>
      <x:c r="C170" s="59" t="str">
        <x:v>May</x:v>
      </x:c>
      <x:c r="D170" s="57" t="str">
        <x:v>Three Engineering Roles, One Workspace in Altium Develop | Unified PCB Team Platform</x:v>
      </x:c>
      <x:c r="E170" s="59" t="str">
        <x:v>JDBGNQylBg0</x:v>
      </x:c>
      <x:c r="F170" s="59" t="str">
        <x:v>https://youtu.be/JDBGNQylBg0</x:v>
      </x:c>
      <x:c r="G170" s="59" t="str">
        <x:v>Direct video</x:v>
      </x:c>
      <x:c r="H170" s="57" t="str">
        <x:v>2026 May Altium series</x:v>
      </x:c>
      <x:c r="I170" s="59" t="str">
        <x:v>Altium Develop</x:v>
      </x:c>
      <x:c r="J170" s="59" t="str">
        <x:v>Invoice</x:v>
      </x:c>
      <x:c r="K170" s="57" t="str">
        <x:v>Altium EduEngTeam Invoice May 2026.pdf</x:v>
      </x:c>
      <x:c r="L170" s="57" t="str">
        <x:v>URL recovered; current public status not independently verified</x:v>
      </x:c>
      <x:c r="M170" s="57" t="str">
        <x:v>Direct URL recovered from the corresponding Altium invoice archive.</x:v>
      </x:c>
      <x:c r="N170" s="59" t="e">
        <x:f>HYPERLINK(F170,"Open")</x:f>
      </x:c>
    </x:row>
    <x:row r="171" ht="30" hidden="0" customHeight="1">
      <x:c r="A171" s="59" t="n">
        <x:v>167</x:v>
      </x:c>
      <x:c r="B171" s="59" t="str">
        <x:v>2026</x:v>
      </x:c>
      <x:c r="C171" s="59" t="str">
        <x:v>May</x:v>
      </x:c>
      <x:c r="D171" s="57" t="str">
        <x:v>Run an Entire Hardware Sprint Week in Altium Develop | Agile PCB Engineering Workflow</x:v>
      </x:c>
      <x:c r="E171" s="59" t="str">
        <x:v>MrvhQtXcGvw</x:v>
      </x:c>
      <x:c r="F171" s="59" t="str">
        <x:v>https://youtu.be/MrvhQtXcGvw</x:v>
      </x:c>
      <x:c r="G171" s="59" t="str">
        <x:v>Direct video</x:v>
      </x:c>
      <x:c r="H171" s="57" t="str">
        <x:v>2026 May Altium series</x:v>
      </x:c>
      <x:c r="I171" s="59" t="str">
        <x:v>Altium Develop</x:v>
      </x:c>
      <x:c r="J171" s="59" t="str">
        <x:v>Invoice</x:v>
      </x:c>
      <x:c r="K171" s="57" t="str">
        <x:v>Altium EduEngTeam Invoice May 2026.pdf</x:v>
      </x:c>
      <x:c r="L171" s="57" t="str">
        <x:v>URL recovered; current public status not independently verified</x:v>
      </x:c>
      <x:c r="M171" s="57" t="str">
        <x:v>Direct URL recovered from the corresponding Altium invoice archive.</x:v>
      </x:c>
      <x:c r="N171" s="59" t="e">
        <x:f>HYPERLINK(F171,"Open")</x:f>
      </x:c>
    </x:row>
    <x:row r="172" ht="30" hidden="0" customHeight="1">
      <x:c r="A172" s="59" t="n">
        <x:v>168</x:v>
      </x:c>
      <x:c r="B172" s="59" t="str">
        <x:v>2026</x:v>
      </x:c>
      <x:c r="C172" s="59" t="str">
        <x:v>May</x:v>
      </x:c>
      <x:c r="D172" s="57" t="str">
        <x:v>From JIRA Ticket to Released PCB in Altium Develop | Complete Hardware Delivery Pipeline</x:v>
      </x:c>
      <x:c r="E172" s="59" t="str">
        <x:v>CGnKWzMxyvg</x:v>
      </x:c>
      <x:c r="F172" s="59" t="str">
        <x:v>https://youtu.be/CGnKWzMxyvg</x:v>
      </x:c>
      <x:c r="G172" s="59" t="str">
        <x:v>Direct video</x:v>
      </x:c>
      <x:c r="H172" s="57" t="str">
        <x:v>2026 May Altium series</x:v>
      </x:c>
      <x:c r="I172" s="59" t="str">
        <x:v>Altium Develop</x:v>
      </x:c>
      <x:c r="J172" s="59" t="str">
        <x:v>Invoice</x:v>
      </x:c>
      <x:c r="K172" s="57" t="str">
        <x:v>Altium EduEngTeam Invoice May 2026.pdf</x:v>
      </x:c>
      <x:c r="L172" s="57" t="str">
        <x:v>URL recovered; current public status not independently verified</x:v>
      </x:c>
      <x:c r="M172" s="57" t="str">
        <x:v>Direct URL recovered from the corresponding Altium invoice archive.</x:v>
      </x:c>
      <x:c r="N172" s="59" t="e">
        <x:f>HYPERLINK(F172,"Open")</x:f>
      </x:c>
    </x:row>
    <x:row r="173" ht="30" hidden="0" customHeight="1">
      <x:c r="A173" s="59" t="n">
        <x:v>169</x:v>
      </x:c>
      <x:c r="B173" s="59" t="str">
        <x:v>2026</x:v>
      </x:c>
      <x:c r="C173" s="59" t="str">
        <x:v>May</x:v>
      </x:c>
      <x:c r="D173" s="57" t="str">
        <x:v>Manager Signals: See Hardware Health at a Glance in Altium Develop | Real-Time PCB Insights</x:v>
      </x:c>
      <x:c r="E173" s="59" t="str">
        <x:v>K8nQ2d6uJMg</x:v>
      </x:c>
      <x:c r="F173" s="59" t="str">
        <x:v>https://youtu.be/K8nQ2d6uJMg</x:v>
      </x:c>
      <x:c r="G173" s="59" t="str">
        <x:v>Direct video</x:v>
      </x:c>
      <x:c r="H173" s="57" t="str">
        <x:v>2026 May Altium series</x:v>
      </x:c>
      <x:c r="I173" s="59" t="str">
        <x:v>Altium Develop</x:v>
      </x:c>
      <x:c r="J173" s="59" t="str">
        <x:v>Invoice</x:v>
      </x:c>
      <x:c r="K173" s="57" t="str">
        <x:v>Altium EduEngTeam Invoice May 2026.pdf</x:v>
      </x:c>
      <x:c r="L173" s="57" t="str">
        <x:v>URL recovered; current public status not independently verified</x:v>
      </x:c>
      <x:c r="M173" s="57" t="str">
        <x:v>Direct URL recovered from the corresponding Altium invoice archive.</x:v>
      </x:c>
      <x:c r="N173" s="59" t="e">
        <x:f>HYPERLINK(F173,"Open")</x:f>
      </x:c>
    </x:row>
    <x:row r="174" ht="30" hidden="0" customHeight="1">
      <x:c r="A174" s="59" t="n">
        <x:v>170</x:v>
      </x:c>
      <x:c r="B174" s="59" t="str">
        <x:v>2026</x:v>
      </x:c>
      <x:c r="C174" s="59" t="str">
        <x:v>May</x:v>
      </x:c>
      <x:c r="D174" s="57" t="str">
        <x:v>AI-Assisted Requirements to Verified Hardware in Altium Develop | Future of PCB Design</x:v>
      </x:c>
      <x:c r="E174" s="59" t="str">
        <x:v>Noxk9jw-3rs</x:v>
      </x:c>
      <x:c r="F174" s="59" t="str">
        <x:v>https://youtu.be/Noxk9jw-3rs</x:v>
      </x:c>
      <x:c r="G174" s="59" t="str">
        <x:v>Direct video</x:v>
      </x:c>
      <x:c r="H174" s="57" t="str">
        <x:v>2026 May Altium series</x:v>
      </x:c>
      <x:c r="I174" s="59" t="str">
        <x:v>Altium Develop</x:v>
      </x:c>
      <x:c r="J174" s="59" t="str">
        <x:v>Invoice</x:v>
      </x:c>
      <x:c r="K174" s="57" t="str">
        <x:v>Altium EduEngTeam Invoice May 2026.pdf</x:v>
      </x:c>
      <x:c r="L174" s="57" t="str">
        <x:v>URL recovered; current public status not independently verified</x:v>
      </x:c>
      <x:c r="M174" s="57" t="str">
        <x:v>Direct URL recovered from the corresponding Altium invoice archive.</x:v>
      </x:c>
      <x:c r="N174" s="59" t="e">
        <x:f>HYPERLINK(F174,"Open")</x:f>
      </x:c>
    </x:row>
    <x:row r="175" ht="30" hidden="0" customHeight="1">
      <x:c r="A175" s="59" t="n">
        <x:v>171</x:v>
      </x:c>
      <x:c r="B175" s="59" t="str">
        <x:v>2026</x:v>
      </x:c>
      <x:c r="C175" s="59" t="str">
        <x:v>May</x:v>
      </x:c>
      <x:c r="D175" s="57" t="str">
        <x:v>Modular Hardware Architecture Without Hidden Debt in Altium Develop | Scalable PCB Design</x:v>
      </x:c>
      <x:c r="E175" s="59" t="str">
        <x:v>wxnWPUUdf9Q</x:v>
      </x:c>
      <x:c r="F175" s="59" t="str">
        <x:v>https://youtu.be/wxnWPUUdf9Q</x:v>
      </x:c>
      <x:c r="G175" s="59" t="str">
        <x:v>Direct video</x:v>
      </x:c>
      <x:c r="H175" s="57" t="str">
        <x:v>2026 May Altium series</x:v>
      </x:c>
      <x:c r="I175" s="59" t="str">
        <x:v>Altium Develop</x:v>
      </x:c>
      <x:c r="J175" s="59" t="str">
        <x:v>Invoice</x:v>
      </x:c>
      <x:c r="K175" s="57" t="str">
        <x:v>Altium EduEngTeam Invoice May 2026.pdf</x:v>
      </x:c>
      <x:c r="L175" s="57" t="str">
        <x:v>URL recovered; current public status not independently verified</x:v>
      </x:c>
      <x:c r="M175" s="57" t="str">
        <x:v>Direct URL recovered from the corresponding Altium invoice archive.</x:v>
      </x:c>
      <x:c r="N175" s="59" t="e">
        <x:f>HYPERLINK(F175,"Open")</x:f>
      </x:c>
    </x:row>
    <x:row r="176" ht="30" hidden="0" customHeight="1">
      <x:c r="A176" s="59" t="n">
        <x:v>172</x:v>
      </x:c>
      <x:c r="B176" s="59" t="str">
        <x:v>2026</x:v>
      </x:c>
      <x:c r="C176" s="59" t="str">
        <x:v>May</x:v>
      </x:c>
      <x:c r="D176" s="57" t="str">
        <x:v>From Requirement to Test Point in Altium Develop | Complete PCB Verification Trail</x:v>
      </x:c>
      <x:c r="E176" s="59" t="str">
        <x:v>-9-n8f1kxX8</x:v>
      </x:c>
      <x:c r="F176" s="59" t="str">
        <x:v>https://youtu.be/-9-n8f1kxX8</x:v>
      </x:c>
      <x:c r="G176" s="59" t="str">
        <x:v>Direct video</x:v>
      </x:c>
      <x:c r="H176" s="57" t="str">
        <x:v>2026 May Altium series</x:v>
      </x:c>
      <x:c r="I176" s="59" t="str">
        <x:v>Altium Develop</x:v>
      </x:c>
      <x:c r="J176" s="59" t="str">
        <x:v>Invoice</x:v>
      </x:c>
      <x:c r="K176" s="57" t="str">
        <x:v>Altium EduEngTeam Invoice May 2026.pdf</x:v>
      </x:c>
      <x:c r="L176" s="57" t="str">
        <x:v>URL recovered; current public status not independently verified</x:v>
      </x:c>
      <x:c r="M176" s="57" t="str">
        <x:v>Direct URL recovered from the corresponding Altium invoice archive.</x:v>
      </x:c>
      <x:c r="N176" s="59" t="e">
        <x:f>HYPERLINK(F176,"Open")</x:f>
      </x:c>
    </x:row>
    <x:row r="177" ht="30" hidden="0" customHeight="1">
      <x:c r="A177" s="59" t="n">
        <x:v>173</x:v>
      </x:c>
      <x:c r="B177" s="59" t="str">
        <x:v>2026</x:v>
      </x:c>
      <x:c r="C177" s="59" t="str">
        <x:v>May</x:v>
      </x:c>
      <x:c r="D177" s="57" t="str">
        <x:v>Audit-Ready: Trace Every Hardware Change in Altium Develop | Full PCB Traceability</x:v>
      </x:c>
      <x:c r="E177" s="59" t="str">
        <x:v>Xm-WgUOWOlE</x:v>
      </x:c>
      <x:c r="F177" s="59" t="str">
        <x:v>https://youtu.be/Xm-WgUOWOlE</x:v>
      </x:c>
      <x:c r="G177" s="59" t="str">
        <x:v>Direct video</x:v>
      </x:c>
      <x:c r="H177" s="57" t="str">
        <x:v>2026 May Altium series</x:v>
      </x:c>
      <x:c r="I177" s="59" t="str">
        <x:v>Altium Develop</x:v>
      </x:c>
      <x:c r="J177" s="59" t="str">
        <x:v>Invoice</x:v>
      </x:c>
      <x:c r="K177" s="57" t="str">
        <x:v>Altium EduEngTeam Invoice May 2026.pdf</x:v>
      </x:c>
      <x:c r="L177" s="57" t="str">
        <x:v>URL recovered; current public status not independently verified</x:v>
      </x:c>
      <x:c r="M177" s="57" t="str">
        <x:v>Direct URL recovered from the corresponding Altium invoice archive.</x:v>
      </x:c>
      <x:c r="N177" s="59" t="e">
        <x:f>HYPERLINK(F177,"Open")</x:f>
      </x:c>
    </x:row>
    <x:row r="178" ht="30" hidden="0" customHeight="1">
      <x:c r="A178" s="59" t="n">
        <x:v>174</x:v>
      </x:c>
      <x:c r="B178" s="59" t="str">
        <x:v>2026</x:v>
      </x:c>
      <x:c r="C178" s="59" t="str">
        <x:v>May</x:v>
      </x:c>
      <x:c r="D178" s="57" t="str">
        <x:v>Post-Silicon Iteration Without Chaos in Altium Develop | Faster Hardware Revisions</x:v>
      </x:c>
      <x:c r="E178" s="59" t="str">
        <x:v>Vr_4rjEGPDs</x:v>
      </x:c>
      <x:c r="F178" s="59" t="str">
        <x:v>https://youtu.be/Vr_4rjEGPDs</x:v>
      </x:c>
      <x:c r="G178" s="59" t="str">
        <x:v>Direct video</x:v>
      </x:c>
      <x:c r="H178" s="57" t="str">
        <x:v>2026 May Altium series</x:v>
      </x:c>
      <x:c r="I178" s="59" t="str">
        <x:v>Altium Develop</x:v>
      </x:c>
      <x:c r="J178" s="59" t="str">
        <x:v>Invoice</x:v>
      </x:c>
      <x:c r="K178" s="57" t="str">
        <x:v>Altium EduEngTeam Invoice May 2026.pdf</x:v>
      </x:c>
      <x:c r="L178" s="57" t="str">
        <x:v>URL recovered; current public status not independently verified</x:v>
      </x:c>
      <x:c r="M178" s="57" t="str">
        <x:v>Direct URL recovered from the corresponding Altium invoice archive.</x:v>
      </x:c>
      <x:c r="N178" s="59" t="e">
        <x:f>HYPERLINK(F178,"Open")</x:f>
      </x:c>
    </x:row>
    <x:row r="179" ht="30" hidden="0" customHeight="1">
      <x:c r="A179" s="59" t="n">
        <x:v>175</x:v>
      </x:c>
      <x:c r="B179" s="59" t="str">
        <x:v>2026</x:v>
      </x:c>
      <x:c r="C179" s="59" t="str">
        <x:v>May</x:v>
      </x:c>
      <x:c r="D179" s="57" t="str">
        <x:v>Compliance &amp; Sustainability Threads in Altium Develop | Hardware ESG &amp; Regulatory Workflows</x:v>
      </x:c>
      <x:c r="E179" s="59" t="str">
        <x:v>n3b2QEzwst8</x:v>
      </x:c>
      <x:c r="F179" s="59" t="str">
        <x:v>https://youtu.be/n3b2QEzwst8</x:v>
      </x:c>
      <x:c r="G179" s="59" t="str">
        <x:v>Direct video</x:v>
      </x:c>
      <x:c r="H179" s="57" t="str">
        <x:v>2026 May Altium series</x:v>
      </x:c>
      <x:c r="I179" s="59" t="str">
        <x:v>Altium Develop</x:v>
      </x:c>
      <x:c r="J179" s="59" t="str">
        <x:v>Invoice</x:v>
      </x:c>
      <x:c r="K179" s="57" t="str">
        <x:v>Altium EduEngTeam Invoice May 2026.pdf</x:v>
      </x:c>
      <x:c r="L179" s="57" t="str">
        <x:v>URL recovered; current public status not independently verified</x:v>
      </x:c>
      <x:c r="M179" s="57" t="str">
        <x:v>Direct URL recovered from the corresponding Altium invoice archive.</x:v>
      </x:c>
      <x:c r="N179" s="59" t="e">
        <x:f>HYPERLINK(F179,"Open")</x:f>
      </x:c>
    </x:row>
    <x:row r="180" ht="30" hidden="0" customHeight="1">
      <x:c r="A180" s="59" t="n">
        <x:v>176</x:v>
      </x:c>
      <x:c r="B180" s="59" t="str">
        <x:v>2026</x:v>
      </x:c>
      <x:c r="C180" s="59" t="str">
        <x:v>June</x:v>
      </x:c>
      <x:c r="D180" s="57" t="str">
        <x:v>Altium Develop 01 - One Day in Your Hardware Workspace</x:v>
      </x:c>
      <x:c r="E180" s="59" t="str">
        <x:v>4Zc_TVlqyWc</x:v>
      </x:c>
      <x:c r="F180" s="59" t="str">
        <x:v>https://youtu.be/4Zc_TVlqyWc</x:v>
      </x:c>
      <x:c r="G180" s="59" t="str">
        <x:v>Direct video</x:v>
      </x:c>
      <x:c r="H180" s="57" t="str">
        <x:v>2026 June Altium series</x:v>
      </x:c>
      <x:c r="I180" s="59" t="str">
        <x:v>Altium Develop</x:v>
      </x:c>
      <x:c r="J180" s="59" t="str">
        <x:v>Invoice</x:v>
      </x:c>
      <x:c r="K180" s="57" t="str">
        <x:v>Altium_EduEngTeam_Combined_Invoice_June_2026.docx</x:v>
      </x:c>
      <x:c r="L180" s="57" t="str">
        <x:v>URL recovered; current public status not independently verified</x:v>
      </x:c>
      <x:c r="M180" s="57" t="str">
        <x:v>Direct URL recovered from the corresponding Altium invoice archive.</x:v>
      </x:c>
      <x:c r="N180" s="59" t="e">
        <x:f>HYPERLINK(F180,"Open")</x:f>
      </x:c>
    </x:row>
    <x:row r="181" ht="30" hidden="0" customHeight="1">
      <x:c r="A181" s="59" t="n">
        <x:v>177</x:v>
      </x:c>
      <x:c r="B181" s="59" t="str">
        <x:v>2026</x:v>
      </x:c>
      <x:c r="C181" s="59" t="str">
        <x:v>June</x:v>
      </x:c>
      <x:c r="D181" s="57" t="str">
        <x:v>Altium Develop 02 - Connected Stack Setup and Review</x:v>
      </x:c>
      <x:c r="E181" s="59" t="str">
        <x:v>d16MHZHkwsw</x:v>
      </x:c>
      <x:c r="F181" s="59" t="str">
        <x:v>https://youtu.be/d16MHZHkwsw</x:v>
      </x:c>
      <x:c r="G181" s="59" t="str">
        <x:v>Direct video</x:v>
      </x:c>
      <x:c r="H181" s="57" t="str">
        <x:v>2026 June Altium series</x:v>
      </x:c>
      <x:c r="I181" s="59" t="str">
        <x:v>Altium Develop</x:v>
      </x:c>
      <x:c r="J181" s="59" t="str">
        <x:v>Invoice</x:v>
      </x:c>
      <x:c r="K181" s="57" t="str">
        <x:v>Altium_EduEngTeam_Combined_Invoice_June_2026.docx</x:v>
      </x:c>
      <x:c r="L181" s="57" t="str">
        <x:v>URL recovered; current public status not independently verified</x:v>
      </x:c>
      <x:c r="M181" s="57" t="str">
        <x:v>Direct URL recovered from the corresponding Altium invoice archive.</x:v>
      </x:c>
      <x:c r="N181" s="59" t="e">
        <x:f>HYPERLINK(F181,"Open")</x:f>
      </x:c>
    </x:row>
    <x:row r="182" ht="30" hidden="0" customHeight="1">
      <x:c r="A182" s="59" t="n">
        <x:v>178</x:v>
      </x:c>
      <x:c r="B182" s="59" t="str">
        <x:v>2026</x:v>
      </x:c>
      <x:c r="C182" s="59" t="str">
        <x:v>June</x:v>
      </x:c>
      <x:c r="D182" s="57" t="str">
        <x:v>Altium Develop 03 - New Project Setup for PCB Teams</x:v>
      </x:c>
      <x:c r="E182" s="59" t="str">
        <x:v>zFOiYNcBVEY</x:v>
      </x:c>
      <x:c r="F182" s="59" t="str">
        <x:v>https://youtu.be/zFOiYNcBVEY</x:v>
      </x:c>
      <x:c r="G182" s="59" t="str">
        <x:v>Direct video</x:v>
      </x:c>
      <x:c r="H182" s="57" t="str">
        <x:v>2026 June Altium series</x:v>
      </x:c>
      <x:c r="I182" s="59" t="str">
        <x:v>Altium Develop</x:v>
      </x:c>
      <x:c r="J182" s="59" t="str">
        <x:v>Invoice</x:v>
      </x:c>
      <x:c r="K182" s="57" t="str">
        <x:v>Altium_EduEngTeam_Combined_Invoice_June_2026.docx</x:v>
      </x:c>
      <x:c r="L182" s="57" t="str">
        <x:v>URL recovered; current public status not independently verified</x:v>
      </x:c>
      <x:c r="M182" s="57" t="str">
        <x:v>Direct URL recovered from the corresponding Altium invoice archive.</x:v>
      </x:c>
      <x:c r="N182" s="59" t="e">
        <x:f>HYPERLINK(F182,"Open")</x:f>
      </x:c>
    </x:row>
    <x:row r="183" ht="30" hidden="0" customHeight="1">
      <x:c r="A183" s="59" t="n">
        <x:v>179</x:v>
      </x:c>
      <x:c r="B183" s="59" t="str">
        <x:v>2026</x:v>
      </x:c>
      <x:c r="C183" s="59" t="str">
        <x:v>June</x:v>
      </x:c>
      <x:c r="D183" s="57" t="str">
        <x:v>Altium Develop 04 - Managing Schematic Components in Develop</x:v>
      </x:c>
      <x:c r="E183" s="59" t="str">
        <x:v>fdl7XDzjDxQ</x:v>
      </x:c>
      <x:c r="F183" s="59" t="str">
        <x:v>https://youtu.be/fdl7XDzjDxQ</x:v>
      </x:c>
      <x:c r="G183" s="59" t="str">
        <x:v>Direct video</x:v>
      </x:c>
      <x:c r="H183" s="57" t="str">
        <x:v>2026 June Altium series</x:v>
      </x:c>
      <x:c r="I183" s="59" t="str">
        <x:v>Altium Develop</x:v>
      </x:c>
      <x:c r="J183" s="59" t="str">
        <x:v>Invoice</x:v>
      </x:c>
      <x:c r="K183" s="57" t="str">
        <x:v>Altium_EduEngTeam_Combined_Invoice_June_2026.docx</x:v>
      </x:c>
      <x:c r="L183" s="57" t="str">
        <x:v>URL recovered; current public status not independently verified</x:v>
      </x:c>
      <x:c r="M183" s="57" t="str">
        <x:v>Direct URL recovered from the corresponding Altium invoice archive.</x:v>
      </x:c>
      <x:c r="N183" s="59" t="e">
        <x:f>HYPERLINK(F183,"Open")</x:f>
      </x:c>
    </x:row>
    <x:row r="184" ht="30" hidden="0" customHeight="1">
      <x:c r="A184" s="59" t="n">
        <x:v>180</x:v>
      </x:c>
      <x:c r="B184" s="59" t="str">
        <x:v>2026</x:v>
      </x:c>
      <x:c r="C184" s="59" t="str">
        <x:v>June</x:v>
      </x:c>
      <x:c r="D184" s="57" t="str">
        <x:v>Altium Develop 05 - Schematic Wiring and Design Rules in Develop</x:v>
      </x:c>
      <x:c r="E184" s="59" t="str">
        <x:v>SVGqGIxXhkY</x:v>
      </x:c>
      <x:c r="F184" s="59" t="str">
        <x:v>https://youtu.be/SVGqGIxXhkY</x:v>
      </x:c>
      <x:c r="G184" s="59" t="str">
        <x:v>Direct video</x:v>
      </x:c>
      <x:c r="H184" s="57" t="str">
        <x:v>2026 June Altium series</x:v>
      </x:c>
      <x:c r="I184" s="59" t="str">
        <x:v>Altium Develop</x:v>
      </x:c>
      <x:c r="J184" s="59" t="str">
        <x:v>Invoice</x:v>
      </x:c>
      <x:c r="K184" s="57" t="str">
        <x:v>Altium_EduEngTeam_Combined_Invoice_June_2026.docx</x:v>
      </x:c>
      <x:c r="L184" s="57" t="str">
        <x:v>URL recovered; current public status not independently verified</x:v>
      </x:c>
      <x:c r="M184" s="57" t="str">
        <x:v>Direct URL recovered from the corresponding Altium invoice archive.</x:v>
      </x:c>
      <x:c r="N184" s="59" t="e">
        <x:f>HYPERLINK(F184,"Open")</x:f>
      </x:c>
    </x:row>
    <x:row r="185" ht="30" hidden="0" customHeight="1">
      <x:c r="A185" s="59" t="n">
        <x:v>181</x:v>
      </x:c>
      <x:c r="B185" s="59" t="str">
        <x:v>2026</x:v>
      </x:c>
      <x:c r="C185" s="59" t="str">
        <x:v>June</x:v>
      </x:c>
      <x:c r="D185" s="57" t="str">
        <x:v>Altium Develop 06 - Importing Designs to PCB in Develop</x:v>
      </x:c>
      <x:c r="E185" s="59" t="str">
        <x:v>WM0GPuI4FPI</x:v>
      </x:c>
      <x:c r="F185" s="59" t="str">
        <x:v>https://youtu.be/WM0GPuI4FPI</x:v>
      </x:c>
      <x:c r="G185" s="59" t="str">
        <x:v>Direct video</x:v>
      </x:c>
      <x:c r="H185" s="57" t="str">
        <x:v>2026 June Altium series</x:v>
      </x:c>
      <x:c r="I185" s="59" t="str">
        <x:v>Altium Develop</x:v>
      </x:c>
      <x:c r="J185" s="59" t="str">
        <x:v>Invoice</x:v>
      </x:c>
      <x:c r="K185" s="57" t="str">
        <x:v>Altium_EduEngTeam_Combined_Invoice_June_2026.docx</x:v>
      </x:c>
      <x:c r="L185" s="57" t="str">
        <x:v>URL recovered; current public status not independently verified</x:v>
      </x:c>
      <x:c r="M185" s="57" t="str">
        <x:v>Direct URL recovered from the corresponding Altium invoice archive.</x:v>
      </x:c>
      <x:c r="N185" s="59" t="e">
        <x:f>HYPERLINK(F185,"Open")</x:f>
      </x:c>
    </x:row>
    <x:row r="186" ht="30" hidden="0" customHeight="1">
      <x:c r="A186" s="59" t="n">
        <x:v>182</x:v>
      </x:c>
      <x:c r="B186" s="59" t="str">
        <x:v>2026</x:v>
      </x:c>
      <x:c r="C186" s="59" t="str">
        <x:v>June</x:v>
      </x:c>
      <x:c r="D186" s="57" t="str">
        <x:v>Altium Develop 07 - Board Planning Mode and Strategy in Develop</x:v>
      </x:c>
      <x:c r="E186" s="59" t="str">
        <x:v>Z2HSuQYWrPs</x:v>
      </x:c>
      <x:c r="F186" s="59" t="str">
        <x:v>https://youtu.be/Z2HSuQYWrPs</x:v>
      </x:c>
      <x:c r="G186" s="59" t="str">
        <x:v>Direct video</x:v>
      </x:c>
      <x:c r="H186" s="57" t="str">
        <x:v>2026 June Altium series</x:v>
      </x:c>
      <x:c r="I186" s="59" t="str">
        <x:v>Altium Develop</x:v>
      </x:c>
      <x:c r="J186" s="59" t="str">
        <x:v>Invoice</x:v>
      </x:c>
      <x:c r="K186" s="57" t="str">
        <x:v>Altium_EduEngTeam_Combined_Invoice_June_2026.docx</x:v>
      </x:c>
      <x:c r="L186" s="57" t="str">
        <x:v>URL recovered; current public status not independently verified</x:v>
      </x:c>
      <x:c r="M186" s="57" t="str">
        <x:v>Direct URL recovered from the corresponding Altium invoice archive.</x:v>
      </x:c>
      <x:c r="N186" s="59" t="e">
        <x:f>HYPERLINK(F186,"Open")</x:f>
      </x:c>
    </x:row>
    <x:row r="187" ht="30" hidden="0" customHeight="1">
      <x:c r="A187" s="59" t="n">
        <x:v>183</x:v>
      </x:c>
      <x:c r="B187" s="59" t="str">
        <x:v>2026</x:v>
      </x:c>
      <x:c r="C187" s="59" t="str">
        <x:v>June</x:v>
      </x:c>
      <x:c r="D187" s="57" t="str">
        <x:v>Altium Develop 08 - Grid Control and Board Shape in Develop</x:v>
      </x:c>
      <x:c r="E187" s="59" t="str">
        <x:v>ZiwahuZ3JZI</x:v>
      </x:c>
      <x:c r="F187" s="59" t="str">
        <x:v>https://youtu.be/ZiwahuZ3JZI</x:v>
      </x:c>
      <x:c r="G187" s="59" t="str">
        <x:v>Direct video</x:v>
      </x:c>
      <x:c r="H187" s="57" t="str">
        <x:v>2026 June Altium series</x:v>
      </x:c>
      <x:c r="I187" s="59" t="str">
        <x:v>Altium Develop</x:v>
      </x:c>
      <x:c r="J187" s="59" t="str">
        <x:v>Invoice</x:v>
      </x:c>
      <x:c r="K187" s="57" t="str">
        <x:v>Altium_EduEngTeam_Combined_Invoice_June_2026.docx</x:v>
      </x:c>
      <x:c r="L187" s="57" t="str">
        <x:v>URL recovered; current public status not independently verified</x:v>
      </x:c>
      <x:c r="M187" s="57" t="str">
        <x:v>Direct URL recovered from the corresponding Altium invoice archive.</x:v>
      </x:c>
      <x:c r="N187" s="59" t="e">
        <x:f>HYPERLINK(F187,"Open")</x:f>
      </x:c>
    </x:row>
    <x:row r="188" ht="30" hidden="0" customHeight="1">
      <x:c r="A188" s="59" t="n">
        <x:v>184</x:v>
      </x:c>
      <x:c r="B188" s="59" t="str">
        <x:v>2026</x:v>
      </x:c>
      <x:c r="C188" s="59" t="str">
        <x:v>June</x:v>
      </x:c>
      <x:c r="D188" s="57" t="str">
        <x:v>Altium Develop 09 - PCB Layers, Graphics, and Views in Develop</x:v>
      </x:c>
      <x:c r="E188" s="59" t="str">
        <x:v>V50fZEJzalk</x:v>
      </x:c>
      <x:c r="F188" s="59" t="str">
        <x:v>https://youtu.be/V50fZEJzalk</x:v>
      </x:c>
      <x:c r="G188" s="59" t="str">
        <x:v>Direct video</x:v>
      </x:c>
      <x:c r="H188" s="57" t="str">
        <x:v>2026 June Altium series</x:v>
      </x:c>
      <x:c r="I188" s="59" t="str">
        <x:v>Altium Develop</x:v>
      </x:c>
      <x:c r="J188" s="59" t="str">
        <x:v>Invoice</x:v>
      </x:c>
      <x:c r="K188" s="57" t="str">
        <x:v>Altium_EduEngTeam_Combined_Invoice_June_2026.docx</x:v>
      </x:c>
      <x:c r="L188" s="57" t="str">
        <x:v>URL recovered; current public status not independently verified</x:v>
      </x:c>
      <x:c r="M188" s="57" t="str">
        <x:v>Direct URL recovered from the corresponding Altium invoice archive.</x:v>
      </x:c>
      <x:c r="N188" s="59" t="e">
        <x:f>HYPERLINK(F188,"Open")</x:f>
      </x:c>
    </x:row>
    <x:row r="189" ht="30" hidden="0" customHeight="1">
      <x:c r="A189" s="59" t="n">
        <x:v>185</x:v>
      </x:c>
      <x:c r="B189" s="59" t="str">
        <x:v>2026</x:v>
      </x:c>
      <x:c r="C189" s="59" t="str">
        <x:v>June</x:v>
      </x:c>
      <x:c r="D189" s="57" t="str">
        <x:v>Altium Develop 10 - Intelligent Component Placement Workflow</x:v>
      </x:c>
      <x:c r="E189" s="59" t="str">
        <x:v>QtLncn3RYUI</x:v>
      </x:c>
      <x:c r="F189" s="59" t="str">
        <x:v>https://youtu.be/QtLncn3RYUI</x:v>
      </x:c>
      <x:c r="G189" s="59" t="str">
        <x:v>Direct video</x:v>
      </x:c>
      <x:c r="H189" s="57" t="str">
        <x:v>2026 June Altium series</x:v>
      </x:c>
      <x:c r="I189" s="59" t="str">
        <x:v>Altium Develop</x:v>
      </x:c>
      <x:c r="J189" s="59" t="str">
        <x:v>Invoice</x:v>
      </x:c>
      <x:c r="K189" s="57" t="str">
        <x:v>Altium_EduEngTeam_Combined_Invoice_June_2026.docx</x:v>
      </x:c>
      <x:c r="L189" s="57" t="str">
        <x:v>URL recovered; current public status not independently verified</x:v>
      </x:c>
      <x:c r="M189" s="57" t="str">
        <x:v>Direct URL recovered from the corresponding Altium invoice archive.</x:v>
      </x:c>
      <x:c r="N189" s="59" t="e">
        <x:f>HYPERLINK(F189,"Open")</x:f>
      </x:c>
    </x:row>
    <x:row r="190" ht="30" hidden="0" customHeight="1">
      <x:c r="A190" s="59" t="n">
        <x:v>186</x:v>
      </x:c>
      <x:c r="B190" s="59" t="str">
        <x:v>2026</x:v>
      </x:c>
      <x:c r="C190" s="59" t="str">
        <x:v>June</x:v>
      </x:c>
      <x:c r="D190" s="57" t="str">
        <x:v>Altium Develop 11 - Routing and Ground Planes for Robust PCBs</x:v>
      </x:c>
      <x:c r="E190" s="59" t="str">
        <x:v>60VRmxI2HO4</x:v>
      </x:c>
      <x:c r="F190" s="59" t="str">
        <x:v>https://youtu.be/60VRmxI2HO4</x:v>
      </x:c>
      <x:c r="G190" s="59" t="str">
        <x:v>Direct video</x:v>
      </x:c>
      <x:c r="H190" s="57" t="str">
        <x:v>2026 June Altium series</x:v>
      </x:c>
      <x:c r="I190" s="59" t="str">
        <x:v>Altium Develop</x:v>
      </x:c>
      <x:c r="J190" s="59" t="str">
        <x:v>Invoice</x:v>
      </x:c>
      <x:c r="K190" s="57" t="str">
        <x:v>Altium_EduEngTeam_Combined_Invoice_June_2026.docx</x:v>
      </x:c>
      <x:c r="L190" s="57" t="str">
        <x:v>URL recovered; current public status not independently verified</x:v>
      </x:c>
      <x:c r="M190" s="57" t="str">
        <x:v>Direct URL recovered from the corresponding Altium invoice archive.</x:v>
      </x:c>
      <x:c r="N190" s="59" t="e">
        <x:f>HYPERLINK(F190,"Open")</x:f>
      </x:c>
    </x:row>
    <x:row r="191" ht="30" hidden="0" customHeight="1">
      <x:c r="A191" s="59" t="n">
        <x:v>187</x:v>
      </x:c>
      <x:c r="B191" s="59" t="str">
        <x:v>2026</x:v>
      </x:c>
      <x:c r="C191" s="59" t="str">
        <x:v>June</x:v>
      </x:c>
      <x:c r="D191" s="57" t="str">
        <x:v>Altium Develop 12 - Template Projects and Reuse in Develop</x:v>
      </x:c>
      <x:c r="E191" s="59" t="str">
        <x:v>3vKnKX_zffg</x:v>
      </x:c>
      <x:c r="F191" s="59" t="str">
        <x:v>https://youtu.be/3vKnKX_zffg</x:v>
      </x:c>
      <x:c r="G191" s="59" t="str">
        <x:v>Direct video</x:v>
      </x:c>
      <x:c r="H191" s="57" t="str">
        <x:v>2026 June Altium series</x:v>
      </x:c>
      <x:c r="I191" s="59" t="str">
        <x:v>Altium Develop</x:v>
      </x:c>
      <x:c r="J191" s="59" t="str">
        <x:v>Invoice</x:v>
      </x:c>
      <x:c r="K191" s="57" t="str">
        <x:v>Altium_EduEngTeam_Combined_Invoice_June_2026.docx</x:v>
      </x:c>
      <x:c r="L191" s="57" t="str">
        <x:v>URL recovered; current public status not independently verified</x:v>
      </x:c>
      <x:c r="M191" s="57" t="str">
        <x:v>Direct URL recovered from the corresponding Altium invoice archive.</x:v>
      </x:c>
      <x:c r="N191" s="59" t="e">
        <x:f>HYPERLINK(F191,"Open")</x:f>
      </x:c>
    </x:row>
    <x:row r="192" ht="30" hidden="0" customHeight="1">
      <x:c r="A192" s="59" t="n">
        <x:v>188</x:v>
      </x:c>
      <x:c r="B192" s="59" t="str">
        <x:v>2026</x:v>
      </x:c>
      <x:c r="C192" s="59" t="str">
        <x:v>July</x:v>
      </x:c>
      <x:c r="D192" s="57" t="str">
        <x:v>Getting Started with Altium Develop: Download, Setup &amp; Navigation</x:v>
      </x:c>
      <x:c r="E192" s="59" t="str">
        <x:v>jv-m0xkAFck</x:v>
      </x:c>
      <x:c r="F192" s="59" t="str">
        <x:v>https://youtu.be/jv-m0xkAFck</x:v>
      </x:c>
      <x:c r="G192" s="59" t="str">
        <x:v>Direct video</x:v>
      </x:c>
      <x:c r="H192" s="57" t="str">
        <x:v>2026 July Altium series</x:v>
      </x:c>
      <x:c r="I192" s="59" t="str">
        <x:v>Altium Develop</x:v>
      </x:c>
      <x:c r="J192" s="59" t="str">
        <x:v>Invoice</x:v>
      </x:c>
      <x:c r="K192" s="57" t="str">
        <x:v>Altium_EduEngTeam_Invoice_July_2026_3_Pages.pdf</x:v>
      </x:c>
      <x:c r="L192" s="57" t="str">
        <x:v>URL recovered; current public status not independently verified</x:v>
      </x:c>
      <x:c r="M192" s="57" t="str">
        <x:v>Direct URL recovered from the corresponding Altium invoice archive.</x:v>
      </x:c>
      <x:c r="N192" s="59" t="e">
        <x:f>HYPERLINK(F192,"Open")</x:f>
      </x:c>
    </x:row>
    <x:row r="193" ht="30" hidden="0" customHeight="1">
      <x:c r="A193" s="59" t="n">
        <x:v>189</x:v>
      </x:c>
      <x:c r="B193" s="59" t="str">
        <x:v>2026</x:v>
      </x:c>
      <x:c r="C193" s="59" t="str">
        <x:v>July</x:v>
      </x:c>
      <x:c r="D193" s="57" t="str">
        <x:v>Altium Develop Tutorial: Create ESP32 Symbol Step by Step</x:v>
      </x:c>
      <x:c r="E193" s="59" t="str">
        <x:v>GybRq75o7g8</x:v>
      </x:c>
      <x:c r="F193" s="59" t="str">
        <x:v>https://youtu.be/GybRq75o7g8</x:v>
      </x:c>
      <x:c r="G193" s="59" t="str">
        <x:v>Direct video</x:v>
      </x:c>
      <x:c r="H193" s="57" t="str">
        <x:v>2026 July Altium series</x:v>
      </x:c>
      <x:c r="I193" s="59" t="str">
        <x:v>Altium Develop</x:v>
      </x:c>
      <x:c r="J193" s="59" t="str">
        <x:v>Invoice</x:v>
      </x:c>
      <x:c r="K193" s="57" t="str">
        <x:v>Altium_EduEngTeam_Invoice_July_2026_3_Pages.pdf</x:v>
      </x:c>
      <x:c r="L193" s="57" t="str">
        <x:v>URL recovered; current public status not independently verified</x:v>
      </x:c>
      <x:c r="M193" s="57" t="str">
        <x:v>Direct URL recovered from the corresponding Altium invoice archive.</x:v>
      </x:c>
      <x:c r="N193" s="59" t="e">
        <x:f>HYPERLINK(F193,"Open")</x:f>
      </x:c>
    </x:row>
    <x:row r="194" ht="30" hidden="0" customHeight="1">
      <x:c r="A194" s="59" t="n">
        <x:v>190</x:v>
      </x:c>
      <x:c r="B194" s="59" t="str">
        <x:v>2026</x:v>
      </x:c>
      <x:c r="C194" s="59" t="str">
        <x:v>July</x:v>
      </x:c>
      <x:c r="D194" s="57" t="str">
        <x:v>Discover How to Use Built-In Libraries in Altium Develop</x:v>
      </x:c>
      <x:c r="E194" s="59" t="str">
        <x:v>XkynOxsk8zs</x:v>
      </x:c>
      <x:c r="F194" s="59" t="str">
        <x:v>https://youtu.be/XkynOxsk8zs</x:v>
      </x:c>
      <x:c r="G194" s="59" t="str">
        <x:v>Direct video</x:v>
      </x:c>
      <x:c r="H194" s="57" t="str">
        <x:v>2026 July Altium series</x:v>
      </x:c>
      <x:c r="I194" s="59" t="str">
        <x:v>Altium Develop</x:v>
      </x:c>
      <x:c r="J194" s="59" t="str">
        <x:v>Invoice</x:v>
      </x:c>
      <x:c r="K194" s="57" t="str">
        <x:v>Altium_EduEngTeam_Invoice_July_2026_3_Pages.pdf</x:v>
      </x:c>
      <x:c r="L194" s="57" t="str">
        <x:v>URL recovered; current public status not independently verified</x:v>
      </x:c>
      <x:c r="M194" s="57" t="str">
        <x:v>Direct URL recovered from the corresponding Altium invoice archive.</x:v>
      </x:c>
      <x:c r="N194" s="59" t="e">
        <x:f>HYPERLINK(F194,"Open")</x:f>
      </x:c>
    </x:row>
    <x:row r="195" ht="30" hidden="0" customHeight="1">
      <x:c r="A195" s="59" t="n">
        <x:v>191</x:v>
      </x:c>
      <x:c r="B195" s="59" t="str">
        <x:v>2026</x:v>
      </x:c>
      <x:c r="C195" s="59" t="str">
        <x:v>July</x:v>
      </x:c>
      <x:c r="D195" s="57" t="str">
        <x:v>Create ESP32 PCB Footprint Library from Scratch</x:v>
      </x:c>
      <x:c r="E195" s="59" t="str">
        <x:v>t6ePVpeCLxw</x:v>
      </x:c>
      <x:c r="F195" s="59" t="str">
        <x:v>https://youtu.be/t6ePVpeCLxw</x:v>
      </x:c>
      <x:c r="G195" s="59" t="str">
        <x:v>Direct video</x:v>
      </x:c>
      <x:c r="H195" s="57" t="str">
        <x:v>2026 July Altium series</x:v>
      </x:c>
      <x:c r="I195" s="59" t="str">
        <x:v>Altium Develop</x:v>
      </x:c>
      <x:c r="J195" s="59" t="str">
        <x:v>Invoice</x:v>
      </x:c>
      <x:c r="K195" s="57" t="str">
        <x:v>Altium_EduEngTeam_Invoice_July_2026_3_Pages.pdf</x:v>
      </x:c>
      <x:c r="L195" s="57" t="str">
        <x:v>URL recovered; current public status not independently verified</x:v>
      </x:c>
      <x:c r="M195" s="57" t="str">
        <x:v>Direct URL recovered from the corresponding Altium invoice archive.</x:v>
      </x:c>
      <x:c r="N195" s="59" t="e">
        <x:f>HYPERLINK(F195,"Open")</x:f>
      </x:c>
    </x:row>
    <x:row r="196" ht="30" hidden="0" customHeight="1">
      <x:c r="A196" s="59" t="n">
        <x:v>192</x:v>
      </x:c>
      <x:c r="B196" s="59" t="str">
        <x:v>2026</x:v>
      </x:c>
      <x:c r="C196" s="59" t="str">
        <x:v>July</x:v>
      </x:c>
      <x:c r="D196" s="57" t="str">
        <x:v>Link PCB Footprint to Schematic Components in Altium Develop</x:v>
      </x:c>
      <x:c r="E196" s="59" t="str">
        <x:v>x_k2w7JaqjU</x:v>
      </x:c>
      <x:c r="F196" s="59" t="str">
        <x:v>https://youtu.be/x_k2w7JaqjU</x:v>
      </x:c>
      <x:c r="G196" s="59" t="str">
        <x:v>Direct video</x:v>
      </x:c>
      <x:c r="H196" s="57" t="str">
        <x:v>2026 July Altium series</x:v>
      </x:c>
      <x:c r="I196" s="59" t="str">
        <x:v>Altium Develop</x:v>
      </x:c>
      <x:c r="J196" s="59" t="str">
        <x:v>Invoice</x:v>
      </x:c>
      <x:c r="K196" s="57" t="str">
        <x:v>Altium_EduEngTeam_Invoice_July_2026_3_Pages.pdf</x:v>
      </x:c>
      <x:c r="L196" s="57" t="str">
        <x:v>URL recovered; current public status not independently verified</x:v>
      </x:c>
      <x:c r="M196" s="57" t="str">
        <x:v>Direct URL recovered from the corresponding Altium invoice archive.</x:v>
      </x:c>
      <x:c r="N196" s="59" t="e">
        <x:f>HYPERLINK(F196,"Open")</x:f>
      </x:c>
    </x:row>
    <x:row r="197" ht="30" hidden="0" customHeight="1">
      <x:c r="A197" s="59" t="n">
        <x:v>193</x:v>
      </x:c>
      <x:c r="B197" s="59" t="str">
        <x:v>2026</x:v>
      </x:c>
      <x:c r="C197" s="59" t="str">
        <x:v>July</x:v>
      </x:c>
      <x:c r="D197" s="57" t="str">
        <x:v>Create Schematic Documents and Templates in Altium Develop</x:v>
      </x:c>
      <x:c r="E197" s="59" t="str">
        <x:v>by0Nqt7Bng4</x:v>
      </x:c>
      <x:c r="F197" s="59" t="str">
        <x:v>https://youtu.be/by0Nqt7Bng4</x:v>
      </x:c>
      <x:c r="G197" s="59" t="str">
        <x:v>Direct video</x:v>
      </x:c>
      <x:c r="H197" s="57" t="str">
        <x:v>2026 July Altium series</x:v>
      </x:c>
      <x:c r="I197" s="59" t="str">
        <x:v>Altium Develop</x:v>
      </x:c>
      <x:c r="J197" s="59" t="str">
        <x:v>Invoice</x:v>
      </x:c>
      <x:c r="K197" s="57" t="str">
        <x:v>Altium_EduEngTeam_Invoice_July_2026_3_Pages.pdf</x:v>
      </x:c>
      <x:c r="L197" s="57" t="str">
        <x:v>URL recovered; current public status not independently verified</x:v>
      </x:c>
      <x:c r="M197" s="57" t="str">
        <x:v>Direct URL recovered from the corresponding Altium invoice archive.</x:v>
      </x:c>
      <x:c r="N197" s="59" t="e">
        <x:f>HYPERLINK(F197,"Open")</x:f>
      </x:c>
    </x:row>
    <x:row r="198" ht="30" hidden="0" customHeight="1">
      <x:c r="A198" s="59" t="n">
        <x:v>194</x:v>
      </x:c>
      <x:c r="B198" s="59" t="str">
        <x:v>2026</x:v>
      </x:c>
      <x:c r="C198" s="59" t="str">
        <x:v>July</x:v>
      </x:c>
      <x:c r="D198" s="57" t="str">
        <x:v>Altium Annotation Tools: Assign Designators Correctly Every Time</x:v>
      </x:c>
      <x:c r="E198" s="59" t="str">
        <x:v>L80LQsII6F0</x:v>
      </x:c>
      <x:c r="F198" s="59" t="str">
        <x:v>https://youtu.be/L80LQsII6F0</x:v>
      </x:c>
      <x:c r="G198" s="59" t="str">
        <x:v>Direct video</x:v>
      </x:c>
      <x:c r="H198" s="57" t="str">
        <x:v>2026 July Altium series</x:v>
      </x:c>
      <x:c r="I198" s="59" t="str">
        <x:v>Altium Develop</x:v>
      </x:c>
      <x:c r="J198" s="59" t="str">
        <x:v>Invoice</x:v>
      </x:c>
      <x:c r="K198" s="57" t="str">
        <x:v>Altium_EduEngTeam_Invoice_July_2026_3_Pages.pdf</x:v>
      </x:c>
      <x:c r="L198" s="57" t="str">
        <x:v>URL recovered; current public status not independently verified</x:v>
      </x:c>
      <x:c r="M198" s="57" t="str">
        <x:v>Direct URL recovered from the corresponding Altium invoice archive.</x:v>
      </x:c>
      <x:c r="N198" s="59" t="e">
        <x:f>HYPERLINK(F198,"Open")</x:f>
      </x:c>
    </x:row>
    <x:row r="199" ht="30" hidden="0" customHeight="1">
      <x:c r="A199" s="59" t="n">
        <x:v>195</x:v>
      </x:c>
      <x:c r="B199" s="59" t="str">
        <x:v>2026</x:v>
      </x:c>
      <x:c r="C199" s="59" t="str">
        <x:v>July</x:v>
      </x:c>
      <x:c r="D199" s="57" t="str">
        <x:v>Altium Develop Workspace Tutorial: Add Wires, Net Labels, and Power Ports to Your Schematic</x:v>
      </x:c>
      <x:c r="E199" s="59" t="str">
        <x:v>uxQ5BToKINI</x:v>
      </x:c>
      <x:c r="F199" s="59" t="str">
        <x:v>https://youtu.be/uxQ5BToKINI</x:v>
      </x:c>
      <x:c r="G199" s="59" t="str">
        <x:v>Direct video</x:v>
      </x:c>
      <x:c r="H199" s="57" t="str">
        <x:v>2026 July Altium series</x:v>
      </x:c>
      <x:c r="I199" s="59" t="str">
        <x:v>Altium Develop</x:v>
      </x:c>
      <x:c r="J199" s="59" t="str">
        <x:v>Invoice</x:v>
      </x:c>
      <x:c r="K199" s="57" t="str">
        <x:v>Altium_EduEngTeam_Invoice_July_2026_3_Pages.pdf</x:v>
      </x:c>
      <x:c r="L199" s="57" t="str">
        <x:v>URL recovered; current public status not independently verified</x:v>
      </x:c>
      <x:c r="M199" s="57" t="str">
        <x:v>Direct URL recovered from the corresponding Altium invoice archive.</x:v>
      </x:c>
      <x:c r="N199" s="59" t="e">
        <x:f>HYPERLINK(F199,"Open")</x:f>
      </x:c>
    </x:row>
    <x:row r="200" ht="30" hidden="0" customHeight="1">
      <x:c r="A200" s="59" t="n">
        <x:v>196</x:v>
      </x:c>
      <x:c r="B200" s="59" t="str">
        <x:v>2026</x:v>
      </x:c>
      <x:c r="C200" s="59" t="str">
        <x:v>July</x:v>
      </x:c>
      <x:c r="D200" s="57" t="str">
        <x:v>Altium Develop Workspace Tutorial: Schematic Validation and Error Reporting</x:v>
      </x:c>
      <x:c r="E200" s="59" t="str">
        <x:v>y3zuWMbFF20</x:v>
      </x:c>
      <x:c r="F200" s="59" t="str">
        <x:v>https://youtu.be/y3zuWMbFF20</x:v>
      </x:c>
      <x:c r="G200" s="59" t="str">
        <x:v>Direct video</x:v>
      </x:c>
      <x:c r="H200" s="57" t="str">
        <x:v>2026 July Altium series</x:v>
      </x:c>
      <x:c r="I200" s="59" t="str">
        <x:v>Altium Develop</x:v>
      </x:c>
      <x:c r="J200" s="59" t="str">
        <x:v>Invoice</x:v>
      </x:c>
      <x:c r="K200" s="57" t="str">
        <x:v>Altium_EduEngTeam_Invoice_July_2026_3_Pages.pdf</x:v>
      </x:c>
      <x:c r="L200" s="57" t="str">
        <x:v>URL recovered; current public status not independently verified</x:v>
      </x:c>
      <x:c r="M200" s="57" t="str">
        <x:v>Direct URL recovered from the corresponding Altium invoice archive.</x:v>
      </x:c>
      <x:c r="N200" s="59" t="e">
        <x:f>HYPERLINK(F200,"Open")</x:f>
      </x:c>
    </x:row>
    <x:row r="201" ht="30" hidden="0" customHeight="1">
      <x:c r="A201" s="59" t="n">
        <x:v>197</x:v>
      </x:c>
      <x:c r="B201" s="59" t="str">
        <x:v>2026</x:v>
      </x:c>
      <x:c r="C201" s="59" t="str">
        <x:v>July</x:v>
      </x:c>
      <x:c r="D201" s="57" t="str">
        <x:v>Altium Develop Workspace Tutorial: Import Design Changes &amp; Create the Board Outline</x:v>
      </x:c>
      <x:c r="E201" s="59" t="str">
        <x:v>Ev50Iv42V18</x:v>
      </x:c>
      <x:c r="F201" s="59" t="str">
        <x:v>https://youtu.be/Ev50Iv42V18</x:v>
      </x:c>
      <x:c r="G201" s="59" t="str">
        <x:v>Direct video</x:v>
      </x:c>
      <x:c r="H201" s="57" t="str">
        <x:v>2026 July Altium series</x:v>
      </x:c>
      <x:c r="I201" s="59" t="str">
        <x:v>Altium Develop</x:v>
      </x:c>
      <x:c r="J201" s="59" t="str">
        <x:v>Invoice</x:v>
      </x:c>
      <x:c r="K201" s="57" t="str">
        <x:v>Altium_EduEngTeam_Invoice_July_2026_3_Pages.pdf</x:v>
      </x:c>
      <x:c r="L201" s="57" t="str">
        <x:v>URL recovered; current public status not independently verified</x:v>
      </x:c>
      <x:c r="M201" s="57" t="str">
        <x:v>Direct URL recovered from the corresponding Altium invoice archive.</x:v>
      </x:c>
      <x:c r="N201" s="59" t="e">
        <x:f>HYPERLINK(F201,"Open")</x:f>
      </x:c>
    </x:row>
    <x:row r="202" ht="30" hidden="0" customHeight="1">
      <x:c r="A202" s="59" t="n">
        <x:v>198</x:v>
      </x:c>
      <x:c r="B202" s="59" t="str">
        <x:v>2026</x:v>
      </x:c>
      <x:c r="C202" s="59" t="str">
        <x:v>July</x:v>
      </x:c>
      <x:c r="D202" s="57" t="str">
        <x:v>Altium Develop Workspace Tutorial: Component Placement Tools &amp; Techniques</x:v>
      </x:c>
      <x:c r="E202" s="59" t="str">
        <x:v>UupvG-qL73k</x:v>
      </x:c>
      <x:c r="F202" s="59" t="str">
        <x:v>https://youtu.be/UupvG-qL73k</x:v>
      </x:c>
      <x:c r="G202" s="59" t="str">
        <x:v>Direct video</x:v>
      </x:c>
      <x:c r="H202" s="57" t="str">
        <x:v>2026 July Altium series</x:v>
      </x:c>
      <x:c r="I202" s="59" t="str">
        <x:v>Altium Develop</x:v>
      </x:c>
      <x:c r="J202" s="59" t="str">
        <x:v>Invoice</x:v>
      </x:c>
      <x:c r="K202" s="57" t="str">
        <x:v>Altium_EduEngTeam_Invoice_July_2026_3_Pages.pdf</x:v>
      </x:c>
      <x:c r="L202" s="57" t="str">
        <x:v>URL recovered; current public status not independently verified</x:v>
      </x:c>
      <x:c r="M202" s="57" t="str">
        <x:v>Direct URL recovered from the corresponding Altium invoice archive.</x:v>
      </x:c>
      <x:c r="N202" s="59" t="e">
        <x:f>HYPERLINK(F202,"Open")</x:f>
      </x:c>
    </x:row>
    <x:row r="203" ht="30" hidden="0" customHeight="1">
      <x:c r="A203" s="59" t="n">
        <x:v>199</x:v>
      </x:c>
      <x:c r="B203" s="59" t="str">
        <x:v>2026</x:v>
      </x:c>
      <x:c r="C203" s="59" t="str">
        <x:v>July</x:v>
      </x:c>
      <x:c r="D203" s="57" t="str">
        <x:v>Altium Develop Workspace Tutorial: PCB Component Layout &amp; Layer Configuration</x:v>
      </x:c>
      <x:c r="E203" s="59" t="str">
        <x:v>kG1dRfyjbcw</x:v>
      </x:c>
      <x:c r="F203" s="59" t="str">
        <x:v>https://youtu.be/kG1dRfyjbcw</x:v>
      </x:c>
      <x:c r="G203" s="59" t="str">
        <x:v>Direct video</x:v>
      </x:c>
      <x:c r="H203" s="57" t="str">
        <x:v>2026 July Altium series</x:v>
      </x:c>
      <x:c r="I203" s="59" t="str">
        <x:v>Altium Develop</x:v>
      </x:c>
      <x:c r="J203" s="59" t="str">
        <x:v>Invoice</x:v>
      </x:c>
      <x:c r="K203" s="57" t="str">
        <x:v>Altium_EduEngTeam_Invoice_July_2026_3_Pages.pdf</x:v>
      </x:c>
      <x:c r="L203" s="57" t="str">
        <x:v>URL recovered; current public status not independently verified</x:v>
      </x:c>
      <x:c r="M203" s="57" t="str">
        <x:v>Direct URL recovered from the corresponding Altium invoice archive.</x:v>
      </x:c>
      <x:c r="N203" s="59" t="e">
        <x:f>HYPERLINK(F203,"Open")</x:f>
      </x:c>
    </x:row>
    <x:row r="204" ht="30" hidden="0" customHeight="1">
      <x:c r="A204" s="59" t="n">
        <x:v>200</x:v>
      </x:c>
      <x:c r="B204" s="59" t="str">
        <x:v>2026</x:v>
      </x:c>
      <x:c r="C204" s="59" t="str">
        <x:v>July</x:v>
      </x:c>
      <x:c r="D204" s="57" t="str">
        <x:v>Altium Develop Workspace Tutorial: Advanced Search Features for Schematics</x:v>
      </x:c>
      <x:c r="E204" s="59" t="str">
        <x:v>PbzuaVGsaEU</x:v>
      </x:c>
      <x:c r="F204" s="59" t="str">
        <x:v>https://youtu.be/PbzuaVGsaEU</x:v>
      </x:c>
      <x:c r="G204" s="59" t="str">
        <x:v>Direct video</x:v>
      </x:c>
      <x:c r="H204" s="57" t="str">
        <x:v>2026 July Altium series</x:v>
      </x:c>
      <x:c r="I204" s="59" t="str">
        <x:v>Altium Develop</x:v>
      </x:c>
      <x:c r="J204" s="59" t="str">
        <x:v>Invoice</x:v>
      </x:c>
      <x:c r="K204" s="57" t="str">
        <x:v>Altium_EduEngTeam_Invoice_July_2026_3_Pages.pdf</x:v>
      </x:c>
      <x:c r="L204" s="57" t="str">
        <x:v>URL recovered; current public status not independently verified</x:v>
      </x:c>
      <x:c r="M204" s="57" t="str">
        <x:v>Direct URL recovered from the corresponding Altium invoice archive.</x:v>
      </x:c>
      <x:c r="N204" s="59" t="e">
        <x:f>HYPERLINK(F204,"Open")</x:f>
      </x:c>
    </x:row>
    <x:row r="205" ht="30" hidden="0" customHeight="1">
      <x:c r="A205" s="59" t="n">
        <x:v>201</x:v>
      </x:c>
      <x:c r="B205" s="59" t="str">
        <x:v>2026</x:v>
      </x:c>
      <x:c r="C205" s="59" t="str">
        <x:v>July</x:v>
      </x:c>
      <x:c r="D205" s="57" t="str">
        <x:v>Altium Develop Workspace Tutorial: Advanced Search Features for PCB Design</x:v>
      </x:c>
      <x:c r="E205" s="59" t="str">
        <x:v>QSIuvoAPV74</x:v>
      </x:c>
      <x:c r="F205" s="59" t="str">
        <x:v>https://youtu.be/QSIuvoAPV74</x:v>
      </x:c>
      <x:c r="G205" s="59" t="str">
        <x:v>Direct video</x:v>
      </x:c>
      <x:c r="H205" s="57" t="str">
        <x:v>2026 July Altium series</x:v>
      </x:c>
      <x:c r="I205" s="59" t="str">
        <x:v>Altium Develop</x:v>
      </x:c>
      <x:c r="J205" s="59" t="str">
        <x:v>Invoice</x:v>
      </x:c>
      <x:c r="K205" s="57" t="str">
        <x:v>Altium_EduEngTeam_Invoice_July_2026_3_Pages.pdf</x:v>
      </x:c>
      <x:c r="L205" s="57" t="str">
        <x:v>URL recovered; current public status not independently verified</x:v>
      </x:c>
      <x:c r="M205" s="57" t="str">
        <x:v>Direct URL recovered from the corresponding Altium invoice archive.</x:v>
      </x:c>
      <x:c r="N205" s="59" t="e">
        <x:f>HYPERLINK(F205,"Open")</x:f>
      </x:c>
    </x:row>
  </x:sheetData>
  <x:mergeCells>
    <x:mergeCell ref="A1:N1"/>
    <x:mergeCell ref="A2:N2"/>
  </x:mergeCells>
  <x:conditionalFormatting sqref="G5:G205">
    <x:cfRule type="expression" dxfId="0" priority="1">
      <x:formula>G5="Direct video"</x:formula>
    </x:cfRule>
    <x:cfRule type="expression" dxfId="1" priority="2">
      <x:formula>G5="Playlist"</x:formula>
    </x:cfRule>
    <x:cfRule type="expression" dxfId="2" priority="3">
      <x:formula>G5="Missing"</x:formula>
    </x:cfRule>
  </x:conditionalFormatting>
  <x:conditionalFormatting sqref="L5:L205">
    <x:cfRule type="expression" dxfId="3" priority="4">
      <x:formula>ISNUMBER(SEARCH("not independently verified",L5))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2a11cc4cc2440e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7" hidden="0" customWidth="1"/>
    <x:col min="3" max="3" width="38" hidden="0" customWidth="1"/>
    <x:col min="4" max="4" width="36" hidden="0" customWidth="1"/>
    <x:col min="5" max="5" width="48" hidden="0" customWidth="1"/>
    <x:col min="6" max="6" width="12" hidden="0" customWidth="1"/>
  </x:cols>
  <x:sheetData>
    <x:row r="1" ht="21.600000381469727" hidden="0" customHeight="1">
      <x:c r="A1" s="5" t="str">
        <x:v>Needs Verification — Gaps, Possible Duplicates, and Unpublished Material</x:v>
      </x:c>
      <x:c r="B1" s="5"/>
      <x:c r="C1" s="5"/>
      <x:c r="D1" s="5"/>
      <x:c r="E1" s="5"/>
      <x:c r="F1" s="5"/>
    </x:row>
    <x:row r="2"/>
    <x:row r="3" ht="15" hidden="0" customHeight="1">
      <x:c r="A3" s="38" t="str">
        <x:v>Issue</x:v>
      </x:c>
      <x:c r="B3" s="38" t="str">
        <x:v>Evidence Recovered</x:v>
      </x:c>
      <x:c r="C3" s="38" t="str">
        <x:v>What Is Missing</x:v>
      </x:c>
      <x:c r="D3" s="38" t="str">
        <x:v>Risk</x:v>
      </x:c>
      <x:c r="E3" s="38" t="str">
        <x:v>Recommended Action</x:v>
      </x:c>
      <x:c r="F3" s="38" t="str">
        <x:v>Status</x:v>
      </x:c>
    </x:row>
    <x:row r="4" ht="26.399999618530273" hidden="0" customHeight="1">
      <x:c r="A4" s="57" t="str">
        <x:v>2022 archive claims 68 videos</x:v>
      </x:c>
      <x:c r="B4" s="57" t="str">
        <x:v>Correspondence states that 68 Altium videos were uploaded or scheduled in the wider 2022 production batch.</x:v>
      </x:c>
      <x:c r="C4" s="57" t="str">
        <x:v>A complete title-and-URL manifest for all 68 videos.</x:v>
      </x:c>
      <x:c r="D4" s="57" t="str">
        <x:v>The master catalog may undercount the 2022 output.</x:v>
      </x:c>
      <x:c r="E4" s="57" t="str">
        <x:v>Export the channel's full video list from YouTube Studio and match by upload date, title, and sponsorship description.</x:v>
      </x:c>
      <x:c r="F4" s="63" t="str">
        <x:v>Open</x:v>
      </x:c>
    </x:row>
    <x:row r="5" ht="26.399999618530273" hidden="0" customHeight="1">
      <x:c r="A5" s="57" t="str">
        <x:v>Two July 2022 videos remain unidentified</x:v>
      </x:c>
      <x:c r="B5" s="57" t="str">
        <x:v>Invoice/payment correspondence refers to two July 2022 videos.</x:v>
      </x:c>
      <x:c r="C5" s="57" t="str">
        <x:v>Titles and direct URLs.</x:v>
      </x:c>
      <x:c r="D5" s="57" t="str">
        <x:v>Two published deliverables may be absent from the catalog.</x:v>
      </x:c>
      <x:c r="E5" s="57" t="str">
        <x:v>Search YouTube Studio uploads and July 2022 Altium invoice attachments.</x:v>
      </x:c>
      <x:c r="F5" s="63" t="str">
        <x:v>Open</x:v>
      </x:c>
    </x:row>
    <x:row r="6" ht="26.399999618530273" hidden="0" customHeight="1">
      <x:c r="A6" s="57" t="str">
        <x:v>Three 2022 titles have no direct URL</x:v>
      </x:c>
      <x:c r="B6" s="57" t="str">
        <x:v>Titles were recovered for Search, board-shape configuration, and grid setup.</x:v>
      </x:c>
      <x:c r="C6" s="57" t="str">
        <x:v>Unique YouTube video IDs.</x:v>
      </x:c>
      <x:c r="D6" s="57" t="str">
        <x:v>They cannot be opened or live-checked from this catalog.</x:v>
      </x:c>
      <x:c r="E6" s="57" t="str">
        <x:v>Search YouTube Studio by exact and partial title variants.</x:v>
      </x:c>
      <x:c r="F6" s="63" t="str">
        <x:v>Open</x:v>
      </x:c>
    </x:row>
    <x:row r="7" ht="39.599998474121094" hidden="0" customHeight="1">
      <x:c r="A7" s="57" t="str">
        <x:v>Possible duplicate title: Gerber/BOM</x:v>
      </x:c>
      <x:c r="B7" s="57" t="str">
        <x:v>A later archive references 'Greber File and Bill of Material Altium Designer'; the 2021 playlist already contains 'Greber File and Bill of Material'.</x:v>
      </x:c>
      <x:c r="C7" s="57" t="str">
        <x:v>Confirmation whether these are the same upload.</x:v>
      </x:c>
      <x:c r="D7" s="57" t="str">
        <x:v>Double-counting if added as a separate record.</x:v>
      </x:c>
      <x:c r="E7" s="57" t="str">
        <x:v>Compare YouTube Studio video IDs and upload dates. It was excluded from the 201 count pending proof.</x:v>
      </x:c>
      <x:c r="F7" s="63" t="str">
        <x:v>Open</x:v>
      </x:c>
    </x:row>
    <x:row r="8" ht="26.399999618530273" hidden="0" customHeight="1">
      <x:c r="A8" s="57" t="str">
        <x:v>Thirty-three 2021 lessons are playlist-only</x:v>
      </x:c>
      <x:c r="B8" s="57" t="str">
        <x:v>The two 2021 playlists establish the lesson titles and ordering.</x:v>
      </x:c>
      <x:c r="C8" s="57" t="str">
        <x:v>Individual video IDs for 33 lessons.</x:v>
      </x:c>
      <x:c r="D8" s="57" t="str">
        <x:v>Playlist changes or removals could break traceability.</x:v>
      </x:c>
      <x:c r="E8" s="57" t="str">
        <x:v>Export the playlist item list or YouTube Studio data and populate individual URLs.</x:v>
      </x:c>
      <x:c r="F8" s="63" t="str">
        <x:v>Open</x:v>
      </x:c>
    </x:row>
    <x:row r="9" ht="52.79999923706055" hidden="0" customHeight="1">
      <x:c r="A9" s="57" t="str">
        <x:v>Four 2022 scripts not confirmed as published</x:v>
      </x:c>
      <x:c r="B9" s="57" t="str">
        <x:v>Drive contains scripts titled: A Complete Design Walkthrough; Preparing Your Design for Manufacture; System-level Multi-board Design; Installing, Licensing &amp; Managing Altium Designer.</x:v>
      </x:c>
      <x:c r="C9" s="57" t="str">
        <x:v>Published video IDs or proof they remained drafts.</x:v>
      </x:c>
      <x:c r="D9" s="57" t="str">
        <x:v>Including them without proof would overstate the published catalog.</x:v>
      </x:c>
      <x:c r="E9" s="57" t="str">
        <x:v>Check YouTube Studio and raw project folders. Keep them excluded until publication evidence is found.</x:v>
      </x:c>
      <x:c r="F9" s="63" t="str">
        <x:v>Open</x:v>
      </x:c>
    </x:row>
    <x:row r="10" ht="26.399999618530273" hidden="0" customHeight="1">
      <x:c r="A10" s="57" t="str">
        <x:v>Current public status not independently verified</x:v>
      </x:c>
      <x:c r="B10" s="57" t="str">
        <x:v>165 direct video URLs and two playlist URLs were recovered.</x:v>
      </x:c>
      <x:c r="C10" s="57" t="str">
        <x:v>A fresh availability check for every item while authenticated as the channel owner.</x:v>
      </x:c>
      <x:c r="D10" s="57" t="str">
        <x:v>Some videos may now be private, unlisted, renamed, or deleted.</x:v>
      </x:c>
      <x:c r="E10" s="57" t="str">
        <x:v>Run a YouTube Studio export and mark each record Public, Unlisted, Private, Deleted, or Draft.</x:v>
      </x:c>
      <x:c r="F10" s="63" t="str">
        <x:v>Open</x:v>
      </x:c>
    </x:row>
    <x:row r="11" ht="26.399999618530273" hidden="0" customHeight="1">
      <x:c r="A11" s="57" t="str">
        <x:v>Historical notification dates are incomplete</x:v>
      </x:c>
      <x:c r="B11" s="57" t="str">
        <x:v>Fourteen exact video IDs were recovered from EET YouTube notifications.</x:v>
      </x:c>
      <x:c r="C11" s="57" t="str">
        <x:v>Safe publication date for each record.</x:v>
      </x:c>
      <x:c r="D11" s="57" t="str">
        <x:v>Year-level reporting is approximate for those fourteen videos.</x:v>
      </x:c>
      <x:c r="E11" s="57" t="str">
        <x:v>Resolve dates using YouTube Studio export or video details.</x:v>
      </x:c>
      <x:c r="F11" s="63" t="str">
        <x:v>Open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72dc301382d417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3" hidden="0" customWidth="1"/>
    <x:col min="3" max="3" width="17" hidden="0" customWidth="1"/>
    <x:col min="4" max="4" width="58" hidden="0" customWidth="1"/>
    <x:col min="5" max="5" width="55" hidden="0" customWidth="1"/>
  </x:cols>
  <x:sheetData>
    <x:row r="1" ht="21.600000381469727" hidden="0" customHeight="1">
      <x:c r="A1" s="5" t="str">
        <x:v>Audit Sources and Evidence Map</x:v>
      </x:c>
      <x:c r="B1" s="5"/>
      <x:c r="C1" s="5"/>
      <x:c r="D1" s="5"/>
      <x:c r="E1" s="5"/>
    </x:row>
    <x:row r="2"/>
    <x:row r="3" ht="15" hidden="0" customHeight="1">
      <x:c r="A3" s="38" t="str">
        <x:v>Source</x:v>
      </x:c>
      <x:c r="B3" s="38" t="str">
        <x:v>Type</x:v>
      </x:c>
      <x:c r="C3" s="38" t="str">
        <x:v>Period</x:v>
      </x:c>
      <x:c r="D3" s="38" t="str">
        <x:v>Reference / URL</x:v>
      </x:c>
      <x:c r="E3" s="38" t="str">
        <x:v>Use in Audit</x:v>
      </x:c>
    </x:row>
    <x:row r="4" ht="15" hidden="0" customHeight="1">
      <x:c r="A4" s="57" t="str">
        <x:v>Educational Engineering Team YouTube channel</x:v>
      </x:c>
      <x:c r="B4" s="57" t="str">
        <x:v>Channel</x:v>
      </x:c>
      <x:c r="C4" s="57" t="str">
        <x:v>All periods</x:v>
      </x:c>
      <x:c r="D4" s="57" t="str">
        <x:v>https://www.youtube.com/channel/UCQfDCLyWEHMV3ERhD0au0Ug</x:v>
      </x:c>
      <x:c r="E4" s="57" t="str">
        <x:v>Channel identity and destination for all recovered videos.</x:v>
      </x:c>
    </x:row>
    <x:row r="5" ht="26.399999618530273" hidden="0" customHeight="1">
      <x:c r="A5" s="57" t="str">
        <x:v>2021 Altium course playlist 1</x:v>
      </x:c>
      <x:c r="B5" s="57" t="str">
        <x:v>YouTube playlist</x:v>
      </x:c>
      <x:c r="C5" s="57" t="str">
        <x:v>2021</x:v>
      </x:c>
      <x:c r="D5" s="57" t="str">
        <x:v>https://www.youtube.com/playlist?list=PLEmozdxLQ0hQvMEC9bgyq6xXGjyJ4Hs1B</x:v>
      </x:c>
      <x:c r="E5" s="57" t="str">
        <x:v>Recovered 28 ordered lesson titles and two direct IDs through supporting notifications.</x:v>
      </x:c>
    </x:row>
    <x:row r="6" ht="26.399999618530273" hidden="0" customHeight="1">
      <x:c r="A6" s="57" t="str">
        <x:v>2021 Altium course playlist 2</x:v>
      </x:c>
      <x:c r="B6" s="57" t="str">
        <x:v>YouTube playlist</x:v>
      </x:c>
      <x:c r="C6" s="57" t="str">
        <x:v>2021</x:v>
      </x:c>
      <x:c r="D6" s="57" t="str">
        <x:v>https://www.youtube.com/playlist?list=PLEmozdxLQ0hRtfoqWcEzQJsjxo9HeWNeT</x:v>
      </x:c>
      <x:c r="E6" s="57" t="str">
        <x:v>Recovered seven additional ordered lesson titles.</x:v>
      </x:c>
    </x:row>
    <x:row r="7" ht="26.399999618530273" hidden="0" customHeight="1">
      <x:c r="A7" s="57" t="str">
        <x:v>Altium production correspondence</x:v>
      </x:c>
      <x:c r="B7" s="57" t="str">
        <x:v>Gmail / Google Drive</x:v>
      </x:c>
      <x:c r="C7" s="57" t="str">
        <x:v>2022</x:v>
      </x:c>
      <x:c r="D7" s="57" t="str">
        <x:v>Connected Gmail and Google Drive archives</x:v>
      </x:c>
      <x:c r="E7" s="57" t="str">
        <x:v>Recovered six direct videos, three title-only records, and the 68-video batch claim.</x:v>
      </x:c>
    </x:row>
    <x:row r="8" ht="26.399999618530273" hidden="0" customHeight="1">
      <x:c r="A8" s="57" t="str">
        <x:v>Educational Engineering Team YouTube notifications</x:v>
      </x:c>
      <x:c r="B8" s="57" t="str">
        <x:v>Gmail</x:v>
      </x:c>
      <x:c r="C8" s="57" t="str">
        <x:v>Historical</x:v>
      </x:c>
      <x:c r="D8" s="57" t="str">
        <x:v>Connected Gmail notification archive</x:v>
      </x:c>
      <x:c r="E8" s="57" t="str">
        <x:v>Recovered fourteen additional unique Altium video IDs plus two IDs merged into 2021 rows.</x:v>
      </x:c>
    </x:row>
    <x:row r="9" ht="15" hidden="0" customHeight="1">
      <x:c r="A9" s="57" t="str">
        <x:v>Altium EduEngTeam Invoice March 2023.pdf</x:v>
      </x:c>
      <x:c r="B9" s="57" t="str">
        <x:v>Invoice</x:v>
      </x:c>
      <x:c r="C9" s="57" t="str">
        <x:v>March 2023</x:v>
      </x:c>
      <x:c r="D9" s="57" t="str">
        <x:v>/mnt/data/Altium EduEngTeam Invoice March 2023.pdf</x:v>
      </x:c>
      <x:c r="E9" s="57" t="str">
        <x:v>Eight direct video titles and URLs.</x:v>
      </x:c>
    </x:row>
    <x:row r="10" ht="15" hidden="0" customHeight="1">
      <x:c r="A10" s="57" t="str">
        <x:v>Altium EduEngTeam Invoice April 2023.pdf</x:v>
      </x:c>
      <x:c r="B10" s="57" t="str">
        <x:v>Invoice</x:v>
      </x:c>
      <x:c r="C10" s="57" t="str">
        <x:v>April 2023</x:v>
      </x:c>
      <x:c r="D10" s="57" t="str">
        <x:v>/mnt/data/Altium EduEngTeam Invoice April 2023.pdf</x:v>
      </x:c>
      <x:c r="E10" s="57" t="str">
        <x:v>Eight direct video titles and URLs.</x:v>
      </x:c>
    </x:row>
    <x:row r="11" ht="15" hidden="0" customHeight="1">
      <x:c r="A11" s="57" t="str">
        <x:v>Altium EduEngTeam Invoice July 2023.pdf</x:v>
      </x:c>
      <x:c r="B11" s="57" t="str">
        <x:v>Invoice</x:v>
      </x:c>
      <x:c r="C11" s="57" t="str">
        <x:v>July 2023</x:v>
      </x:c>
      <x:c r="D11" s="57" t="str">
        <x:v>/mnt/data/Altium EduEngTeam Invoice July 2023.pdf</x:v>
      </x:c>
      <x:c r="E11" s="57" t="str">
        <x:v>Three direct video titles and URLs.</x:v>
      </x:c>
    </x:row>
    <x:row r="12" ht="15" hidden="0" customHeight="1">
      <x:c r="A12" s="57" t="str">
        <x:v>Altium EduEngTeam Invoice August 2023.pdf</x:v>
      </x:c>
      <x:c r="B12" s="57" t="str">
        <x:v>Invoice</x:v>
      </x:c>
      <x:c r="C12" s="57" t="str">
        <x:v>August 2023</x:v>
      </x:c>
      <x:c r="D12" s="57" t="str">
        <x:v>/mnt/data/Altium EduEngTeam Invoice August 2023.pdf</x:v>
      </x:c>
      <x:c r="E12" s="57" t="str">
        <x:v>Three direct video titles and URLs.</x:v>
      </x:c>
    </x:row>
    <x:row r="13" ht="15" hidden="0" customHeight="1">
      <x:c r="A13" s="57" t="str">
        <x:v>Altium EduEngTeam Invoice Sep 2023_2.pdf</x:v>
      </x:c>
      <x:c r="B13" s="57" t="str">
        <x:v>Invoice</x:v>
      </x:c>
      <x:c r="C13" s="57" t="str">
        <x:v>September 2023</x:v>
      </x:c>
      <x:c r="D13" s="57" t="str">
        <x:v>/mnt/data/Altium EduEngTeam Invoice Sep 2023_2.pdf</x:v>
      </x:c>
      <x:c r="E13" s="57" t="str">
        <x:v>Three direct video titles and URLs.</x:v>
      </x:c>
    </x:row>
    <x:row r="14" ht="15" hidden="0" customHeight="1">
      <x:c r="A14" s="57" t="str">
        <x:v>Creator sample links</x:v>
      </x:c>
      <x:c r="B14" s="57" t="str">
        <x:v>Gmail correspondence</x:v>
      </x:c>
      <x:c r="C14" s="57" t="str">
        <x:v>2023–2024</x:v>
      </x:c>
      <x:c r="D14" s="57" t="str">
        <x:v>Connected Gmail archive</x:v>
      </x:c>
      <x:c r="E14" s="57" t="str">
        <x:v>Recovered five direct Arduino UNO R4 Altium Designer videos.</x:v>
      </x:c>
    </x:row>
    <x:row r="15" ht="15" hidden="0" customHeight="1">
      <x:c r="A15" s="57" t="str">
        <x:v>Altium EduEngTeam Invoice Nov 2025.pdf</x:v>
      </x:c>
      <x:c r="B15" s="57" t="str">
        <x:v>Invoice</x:v>
      </x:c>
      <x:c r="C15" s="57" t="str">
        <x:v>November 2025</x:v>
      </x:c>
      <x:c r="D15" s="57" t="str">
        <x:v>/mnt/data/Altium EduEngTeam Invoice Nov 2025.pdf</x:v>
      </x:c>
      <x:c r="E15" s="57" t="str">
        <x:v>Twelve direct Altium Develop video titles and URLs.</x:v>
      </x:c>
    </x:row>
    <x:row r="16" ht="15" hidden="0" customHeight="1">
      <x:c r="A16" s="57" t="str">
        <x:v>December 2025 invoice archive</x:v>
      </x:c>
      <x:c r="B16" s="57" t="str">
        <x:v>Gmail invoice archive</x:v>
      </x:c>
      <x:c r="C16" s="57" t="str">
        <x:v>December 2025</x:v>
      </x:c>
      <x:c r="D16" s="57" t="str">
        <x:v>Connected Gmail archive</x:v>
      </x:c>
      <x:c r="E16" s="57" t="str">
        <x:v>Twelve direct Altium Develop video titles and URLs.</x:v>
      </x:c>
    </x:row>
    <x:row r="17" ht="15" hidden="0" customHeight="1">
      <x:c r="A17" s="57" t="str">
        <x:v>January–February 2026 invoice archive</x:v>
      </x:c>
      <x:c r="B17" s="57" t="str">
        <x:v>Gmail invoice archive</x:v>
      </x:c>
      <x:c r="C17" s="57" t="str">
        <x:v>Jan–Feb 2026</x:v>
      </x:c>
      <x:c r="D17" s="57" t="str">
        <x:v>Connected Gmail archive</x:v>
      </x:c>
      <x:c r="E17" s="57" t="str">
        <x:v>Twenty-four direct video titles and URLs.</x:v>
      </x:c>
    </x:row>
    <x:row r="18" ht="15" hidden="0" customHeight="1">
      <x:c r="A18" s="57" t="str">
        <x:v>Altium EduEngTeam Invoice March 2026.pdf</x:v>
      </x:c>
      <x:c r="B18" s="57" t="str">
        <x:v>Invoice</x:v>
      </x:c>
      <x:c r="C18" s="57" t="str">
        <x:v>March 2026</x:v>
      </x:c>
      <x:c r="D18" s="57" t="str">
        <x:v>/mnt/data/Altium EduEngTeam Invoice March 2026.pdf</x:v>
      </x:c>
      <x:c r="E18" s="57" t="str">
        <x:v>Twelve direct video titles and URLs.</x:v>
      </x:c>
    </x:row>
    <x:row r="19" ht="15" hidden="0" customHeight="1">
      <x:c r="A19" s="57" t="str">
        <x:v>Altium EduEngTeam Invoice April 2026.pdf</x:v>
      </x:c>
      <x:c r="B19" s="57" t="str">
        <x:v>Invoice</x:v>
      </x:c>
      <x:c r="C19" s="57" t="str">
        <x:v>April 2026</x:v>
      </x:c>
      <x:c r="D19" s="57" t="str">
        <x:v>/mnt/data/Altium EduEngTeam Invoice April 2026.pdf</x:v>
      </x:c>
      <x:c r="E19" s="57" t="str">
        <x:v>Twelve direct video titles and URLs.</x:v>
      </x:c>
    </x:row>
    <x:row r="20" ht="15" hidden="0" customHeight="1">
      <x:c r="A20" s="57" t="str">
        <x:v>Altium EduEngTeam Invoice May 2026.pdf</x:v>
      </x:c>
      <x:c r="B20" s="57" t="str">
        <x:v>Invoice</x:v>
      </x:c>
      <x:c r="C20" s="57" t="str">
        <x:v>May 2026</x:v>
      </x:c>
      <x:c r="D20" s="57" t="str">
        <x:v>/mnt/data/Altium EduEngTeam Invoice May 2026.pdf</x:v>
      </x:c>
      <x:c r="E20" s="57" t="str">
        <x:v>Twelve direct video titles and URLs.</x:v>
      </x:c>
    </x:row>
    <x:row r="21" ht="26.399999618530273" hidden="0" customHeight="1">
      <x:c r="A21" s="57" t="str">
        <x:v>Altium_EduEngTeam_Combined_Invoice_June_2026.docx</x:v>
      </x:c>
      <x:c r="B21" s="57" t="str">
        <x:v>Invoice</x:v>
      </x:c>
      <x:c r="C21" s="57" t="str">
        <x:v>June 2026</x:v>
      </x:c>
      <x:c r="D21" s="57" t="str">
        <x:v>/mnt/data/Altium_EduEngTeam_Combined_Invoice_June_2026.docx</x:v>
      </x:c>
      <x:c r="E21" s="57" t="str">
        <x:v>Twelve direct video titles and URLs.</x:v>
      </x:c>
    </x:row>
    <x:row r="22" ht="15" hidden="0" customHeight="1">
      <x:c r="A22" s="57" t="str">
        <x:v>Altium_EduEngTeam_Invoice_July_2026_3_Pages.pdf</x:v>
      </x:c>
      <x:c r="B22" s="57" t="str">
        <x:v>Invoice</x:v>
      </x:c>
      <x:c r="C22" s="57" t="str">
        <x:v>July 2026</x:v>
      </x:c>
      <x:c r="D22" s="57" t="str">
        <x:v>/mnt/data/Altium_EduEngTeam_Invoice_July_2026_3_Pages.pdf</x:v>
      </x:c>
      <x:c r="E22" s="57" t="str">
        <x:v>Fourteen direct video titles and URLs.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a3441fc240e44c0"/>
  </x:tableParts>
</x:worksheet>
</file>